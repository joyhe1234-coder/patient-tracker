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48e97164623b15ba/Documents/"/>
    </mc:Choice>
  </mc:AlternateContent>
  <xr:revisionPtr revIDLastSave="0" documentId="8_{5273CF06-79AE-454B-BF5B-E33D687D3BFB}" xr6:coauthVersionLast="47" xr6:coauthVersionMax="47" xr10:uidLastSave="{00000000-0000-0000-0000-000000000000}"/>
  <bookViews>
    <workbookView xWindow="-110" yWindow="-110" windowWidth="22780" windowHeight="14540" xr2:uid="{00000000-000D-0000-FFFF-FFFF00000000}"/>
  </bookViews>
  <sheets>
    <sheet name="Patient Tracking" sheetId="1" r:id="rId1"/>
    <sheet name="HCC Code List" sheetId="6" r:id="rId2"/>
    <sheet name="P4P SUMMARY GUIDELINES" sheetId="7" r:id="rId3"/>
    <sheet name="P4P SUMMARY Codes" sheetId="8" r:id="rId4"/>
    <sheet name="SetUp" sheetId="2" state="hidden" r:id="rId5"/>
  </sheets>
  <definedNames>
    <definedName name="_xlnm._FilterDatabase" localSheetId="1" hidden="1">'HCC Code List'!$A$3:$D$3</definedName>
    <definedName name="_xlnm._FilterDatabase" localSheetId="0" hidden="1">'Patient Tracking'!$A$2:$N$109</definedName>
    <definedName name="_xlnm._FilterDatabase" localSheetId="4" hidden="1">SetUp!$D$1:$F$77</definedName>
    <definedName name="ColumnTitle1">#REF!</definedName>
    <definedName name="DayAllowance">'HCC Code List'!#REF!</definedName>
    <definedName name="_xlnm.Print_Titles" localSheetId="1">'HCC Code List'!#REF!</definedName>
    <definedName name="_xlnm.Print_Titles" localSheetId="3">'P4P SUMMARY Codes'!$1:$2</definedName>
    <definedName name="_xlnm.Print_Titles" localSheetId="2">'P4P SUMMARY GUIDELINES'!$1:$2</definedName>
    <definedName name="RowTitleRegion1..H1">'HCC Code List'!#REF!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5" i="2" l="1"/>
</calcChain>
</file>

<file path=xl/sharedStrings.xml><?xml version="1.0" encoding="utf-8"?>
<sst xmlns="http://schemas.openxmlformats.org/spreadsheetml/2006/main" count="1080" uniqueCount="561">
  <si>
    <t>Request Type</t>
  </si>
  <si>
    <t>Member DOB</t>
  </si>
  <si>
    <t>Member Telephone</t>
  </si>
  <si>
    <t>AWV</t>
  </si>
  <si>
    <t>Quality</t>
  </si>
  <si>
    <t>Chronic DX</t>
  </si>
  <si>
    <t>Quality Measure</t>
  </si>
  <si>
    <t>Measure Status</t>
  </si>
  <si>
    <t>Date</t>
  </si>
  <si>
    <t>Annual Wellness Visit</t>
  </si>
  <si>
    <t>Diabetic Eye Exam</t>
  </si>
  <si>
    <t>Colon Cancer Screening</t>
  </si>
  <si>
    <t>Breast Cancer Screening</t>
  </si>
  <si>
    <t>Diabetic Nephropathy</t>
  </si>
  <si>
    <t>Hypertension Management</t>
  </si>
  <si>
    <t>ACE/ARB in DM or CAD</t>
  </si>
  <si>
    <t>Chronic Diagnosis Code</t>
  </si>
  <si>
    <t>Vaccination</t>
  </si>
  <si>
    <t>Cervical Cancer Screening</t>
  </si>
  <si>
    <t>Diabetes Control</t>
  </si>
  <si>
    <t>Patient called to schedule AWV</t>
  </si>
  <si>
    <t>AWV scheduled</t>
  </si>
  <si>
    <t>AWV completed</t>
  </si>
  <si>
    <t>Patient declined AWV</t>
  </si>
  <si>
    <t>Diabetic eye exam discussed</t>
  </si>
  <si>
    <t>Diabetic eye exam referral made</t>
  </si>
  <si>
    <t>Diabetic eye exam completed</t>
  </si>
  <si>
    <t>Patient declined</t>
  </si>
  <si>
    <t>Not Addressed</t>
  </si>
  <si>
    <t>Colon cancer screening ordered</t>
  </si>
  <si>
    <t>Colon cancer screening completed</t>
  </si>
  <si>
    <t>Patient declined screening</t>
  </si>
  <si>
    <t>Colonoscopy</t>
  </si>
  <si>
    <t>Sigmoidoscopy</t>
  </si>
  <si>
    <t>Cologuard</t>
  </si>
  <si>
    <t>FOBT</t>
  </si>
  <si>
    <t>Screening test ordered</t>
  </si>
  <si>
    <t>Screening test completed</t>
  </si>
  <si>
    <t>Mammogram</t>
  </si>
  <si>
    <t>Breast Ultrasound</t>
  </si>
  <si>
    <t>Breast MRI</t>
  </si>
  <si>
    <t>Patient contacted for screening</t>
  </si>
  <si>
    <t>Urine microalbumin ordered</t>
  </si>
  <si>
    <t>Urine microalbumin completed</t>
  </si>
  <si>
    <t>GC/Clamydia screening completed</t>
  </si>
  <si>
    <t>Enter Date</t>
  </si>
  <si>
    <t>Blood pressure at goal</t>
  </si>
  <si>
    <t>Declined BP control</t>
  </si>
  <si>
    <t>Patient called to schedule appointment</t>
  </si>
  <si>
    <t>Appointment scheduled</t>
  </si>
  <si>
    <t>Chronic diagnosis resolved</t>
  </si>
  <si>
    <t>Chronic diagnosis coded</t>
  </si>
  <si>
    <t>Chronic diagnosis invalid</t>
  </si>
  <si>
    <t>Tracking#1</t>
  </si>
  <si>
    <t>Tracking#2</t>
  </si>
  <si>
    <t>Enter date of last BP</t>
  </si>
  <si>
    <t>Enter last BP reading</t>
  </si>
  <si>
    <t>Date of last BP contact</t>
  </si>
  <si>
    <t>Select call frequency</t>
  </si>
  <si>
    <t>Call every 1 wk</t>
  </si>
  <si>
    <t>Call every 2 wks</t>
  </si>
  <si>
    <t>Call every 3 wks</t>
  </si>
  <si>
    <t>Call every 4 wks</t>
  </si>
  <si>
    <t>Call every 5 wks</t>
  </si>
  <si>
    <t>Call every 6 wks</t>
  </si>
  <si>
    <t>Call every 7 wks</t>
  </si>
  <si>
    <t>Call every 8 wks</t>
  </si>
  <si>
    <t>Date of appointment</t>
  </si>
  <si>
    <t>Date coded</t>
  </si>
  <si>
    <t>Date pt called</t>
  </si>
  <si>
    <t>Attestation not sent</t>
  </si>
  <si>
    <t>Attestation sent</t>
  </si>
  <si>
    <t>Date reported</t>
  </si>
  <si>
    <t>Floating Text</t>
  </si>
  <si>
    <t>Enter screening type</t>
  </si>
  <si>
    <t>Select Option</t>
  </si>
  <si>
    <t>Floating Text Date</t>
  </si>
  <si>
    <t>Date resolved</t>
  </si>
  <si>
    <t>Date call made</t>
  </si>
  <si>
    <t>Date scheduled</t>
  </si>
  <si>
    <t>Date completed</t>
  </si>
  <si>
    <t>Date referral made</t>
  </si>
  <si>
    <t>Date exam discussed</t>
  </si>
  <si>
    <t>Date screening ordered</t>
  </si>
  <si>
    <t>Date contacted</t>
  </si>
  <si>
    <t>Date ordered</t>
  </si>
  <si>
    <t>Vaccination completed</t>
  </si>
  <si>
    <t>Office visit scheduled</t>
  </si>
  <si>
    <t>Contacted to schedule appt</t>
  </si>
  <si>
    <t>Walk in advised</t>
  </si>
  <si>
    <t>Vaccination declined</t>
  </si>
  <si>
    <t>Vaccination contraindicated</t>
  </si>
  <si>
    <t>Enter Reason</t>
  </si>
  <si>
    <t>Screening discussed</t>
  </si>
  <si>
    <t>Screening appt made</t>
  </si>
  <si>
    <t>Screening completed</t>
  </si>
  <si>
    <t>Date of discussion</t>
  </si>
  <si>
    <t>Date of completion</t>
  </si>
  <si>
    <t>In 1 Month</t>
  </si>
  <si>
    <t>In 2 Months</t>
  </si>
  <si>
    <t>In 3 Months</t>
  </si>
  <si>
    <t>In 4 Months</t>
  </si>
  <si>
    <t>In 5 Months</t>
  </si>
  <si>
    <t>In 6 Months</t>
  </si>
  <si>
    <t>In 7 Months</t>
  </si>
  <si>
    <t>In 8 Months</t>
  </si>
  <si>
    <t>In 9 Months</t>
  </si>
  <si>
    <t>In 10 Months</t>
  </si>
  <si>
    <t>In 11 Months</t>
  </si>
  <si>
    <t>Patient contacted to start ACE/ARB</t>
  </si>
  <si>
    <t>Patient has appointment to discuss</t>
  </si>
  <si>
    <t>Patient currently on ACE/ARB</t>
  </si>
  <si>
    <t>ACE/ARB contraindicated</t>
  </si>
  <si>
    <t>Not applicable</t>
  </si>
  <si>
    <t>Anticipated completion</t>
  </si>
  <si>
    <t>HgbAic NOT at goal</t>
  </si>
  <si>
    <t>HgbAic at goal</t>
  </si>
  <si>
    <t>Patient declined testing</t>
  </si>
  <si>
    <t>Date of last test</t>
  </si>
  <si>
    <t>Testing Interval</t>
  </si>
  <si>
    <t>1 Month</t>
  </si>
  <si>
    <t>2 Months</t>
  </si>
  <si>
    <t>3 Months</t>
  </si>
  <si>
    <t>4 Months</t>
  </si>
  <si>
    <t>5 Months</t>
  </si>
  <si>
    <t>6 Months</t>
  </si>
  <si>
    <t>7 Months</t>
  </si>
  <si>
    <t>8 Months</t>
  </si>
  <si>
    <t>9 Months</t>
  </si>
  <si>
    <t>10 Months</t>
  </si>
  <si>
    <t>11 Months</t>
  </si>
  <si>
    <t>12 Months</t>
  </si>
  <si>
    <t>Enter HgbAic</t>
  </si>
  <si>
    <t>Due Date</t>
  </si>
  <si>
    <t>Colon cancer screening orderedColonoscopy</t>
  </si>
  <si>
    <t>Colon cancer screening orderedSigmoidoscopy</t>
  </si>
  <si>
    <t>Colon cancer screening orderedCologuard</t>
  </si>
  <si>
    <t>Colon cancer screening orderedFOBT</t>
  </si>
  <si>
    <t>Measure Status/Tracking</t>
  </si>
  <si>
    <t>Screening test orderedMammogram</t>
  </si>
  <si>
    <t>Screening test orderedBreast ultrasound</t>
  </si>
  <si>
    <t>Screening test orderedBreast MRI</t>
  </si>
  <si>
    <t>Due (Days)</t>
  </si>
  <si>
    <t>Member 
Name</t>
  </si>
  <si>
    <t>Member 
Home Address</t>
  </si>
  <si>
    <t>Annual Serum K&amp;Cr</t>
  </si>
  <si>
    <t>Patient contacted for testing</t>
  </si>
  <si>
    <t>Test completed</t>
  </si>
  <si>
    <t>Test declined</t>
  </si>
  <si>
    <t>Date of decline</t>
  </si>
  <si>
    <t>GC/Chlamydia Screening</t>
  </si>
  <si>
    <t>Time Interval
(In Days)</t>
  </si>
  <si>
    <t>Screening</t>
  </si>
  <si>
    <t>No longer applicable</t>
  </si>
  <si>
    <t>Patient deceased</t>
  </si>
  <si>
    <t>Patient in hospice</t>
  </si>
  <si>
    <t>Last AWV Date</t>
  </si>
  <si>
    <t>Possible Actions Needed &amp; Notes</t>
  </si>
  <si>
    <t>Screening unnecessary</t>
  </si>
  <si>
    <t>Vaccination unnecessary</t>
  </si>
  <si>
    <t>Date Reported</t>
  </si>
  <si>
    <t>Will call later to schedule</t>
  </si>
  <si>
    <t>Obtaining outside records</t>
  </si>
  <si>
    <t>Diabetic eye exam scheduled</t>
  </si>
  <si>
    <t>Date Scheduled</t>
  </si>
  <si>
    <t>Test ordered</t>
  </si>
  <si>
    <t>Scheduled call back - BP not at goal</t>
  </si>
  <si>
    <t>Scheduled call back - BP not at goalCall every 1 wk</t>
  </si>
  <si>
    <t>Scheduled call back - BP not at goalCall every 2 wks</t>
  </si>
  <si>
    <t>Scheduled call back - BP not at goalCall every 3 wks</t>
  </si>
  <si>
    <t>Scheduled call back - BP not at goalCall every 4 wks</t>
  </si>
  <si>
    <t>Scheduled call back - BP not at goalCall every 5 wks</t>
  </si>
  <si>
    <t>Scheduled call back - BP not at goalCall every 6 wks</t>
  </si>
  <si>
    <t>Scheduled call back - BP not at goalCall every 7 wks</t>
  </si>
  <si>
    <t>Scheduled call back - BP not at goalCall every 8 wks</t>
  </si>
  <si>
    <t>Tracking#3</t>
  </si>
  <si>
    <t>Enter last office BP</t>
  </si>
  <si>
    <t>Enter avg home BP</t>
  </si>
  <si>
    <t>Scheduled call back - BP at goal</t>
  </si>
  <si>
    <t>Scheduled call back - BP at goalCall every 1 wk</t>
  </si>
  <si>
    <t>Scheduled call back - BP at goalCall every 2 wks</t>
  </si>
  <si>
    <t>Scheduled call back - BP at goalCall every 3 wks</t>
  </si>
  <si>
    <t>Scheduled call back - BP at goalCall every 4 wks</t>
  </si>
  <si>
    <t>Scheduled call back - BP at goalCall every 5 wks</t>
  </si>
  <si>
    <t>Scheduled call back - BP at goalCall every 6 wks</t>
  </si>
  <si>
    <t>Scheduled call back - BP at goalCall every 7 wks</t>
  </si>
  <si>
    <t>Scheduled call back - BP at goalCall every 8 wks</t>
  </si>
  <si>
    <t>Test Ordered</t>
  </si>
  <si>
    <t>HgbAic ordered?</t>
  </si>
  <si>
    <t>HgbAic ordered</t>
  </si>
  <si>
    <t>HgbAic not ordered</t>
  </si>
  <si>
    <t>Patient Quality Data Tracking Worksheet</t>
  </si>
  <si>
    <t xml:space="preserve">          Commonly Missed HCC ICD-10 Codes</t>
  </si>
  <si>
    <t>CATEGORY</t>
  </si>
  <si>
    <t>DESCRIPTION</t>
  </si>
  <si>
    <t>ICD 10 CODE(S)</t>
  </si>
  <si>
    <t>RAF VALUE</t>
  </si>
  <si>
    <t>Type 2 Diabetes Mellitus</t>
  </si>
  <si>
    <t>DM 2 with chronic kidney disease (code CKD stage)</t>
  </si>
  <si>
    <t>E11.22</t>
  </si>
  <si>
    <t>Cardiac</t>
  </si>
  <si>
    <t>Atrial fibrillation/Atrial flutter</t>
  </si>
  <si>
    <t>I48.91/I48.92</t>
  </si>
  <si>
    <t>DM 2 with neuropathy</t>
  </si>
  <si>
    <t>E11.40</t>
  </si>
  <si>
    <t>Supraventricular tachycardia or Paroxysmal atrial tachycardia</t>
  </si>
  <si>
    <t>I47.1</t>
  </si>
  <si>
    <t>DM 2 poorly controlled</t>
  </si>
  <si>
    <t>E11.65</t>
  </si>
  <si>
    <t>Chronic systolic/diastolic heart failure</t>
  </si>
  <si>
    <t>I50.20/I50.30</t>
  </si>
  <si>
    <t>DM 2 with retinopathy with/without macular edema</t>
  </si>
  <si>
    <t>E11.311/E11.319</t>
  </si>
  <si>
    <t>CAD with angina pectoris</t>
  </si>
  <si>
    <t>I25.119</t>
  </si>
  <si>
    <t>DM 2 with proliferative retinopathy with/without macular edema</t>
  </si>
  <si>
    <t>E11.351/E11.359</t>
  </si>
  <si>
    <t>Cardiomyopathy</t>
  </si>
  <si>
    <t>I42.9</t>
  </si>
  <si>
    <t>DM 2 with peripheral vascular disease</t>
  </si>
  <si>
    <t>E11.51</t>
  </si>
  <si>
    <t>Secondary pulmonary hypertension</t>
  </si>
  <si>
    <t>I27.2</t>
  </si>
  <si>
    <t>Type 1 Diabetes Mellitus</t>
  </si>
  <si>
    <t>DM 1 with chronic kidney disease (code CKD stage)</t>
  </si>
  <si>
    <t>E10.22</t>
  </si>
  <si>
    <t>Pulmonary</t>
  </si>
  <si>
    <t>COPD/Emphysema</t>
  </si>
  <si>
    <t>J44.9/J43.9</t>
  </si>
  <si>
    <t>DM 1 with neuropathy</t>
  </si>
  <si>
    <t>E10.40</t>
  </si>
  <si>
    <t>Chronic bronchitis</t>
  </si>
  <si>
    <t>J42</t>
  </si>
  <si>
    <t>DM 1 poorly controlled</t>
  </si>
  <si>
    <t>E10.65</t>
  </si>
  <si>
    <t>Chronic obstructive asthma</t>
  </si>
  <si>
    <t>DM 1 with retinopathy with/without macular edema</t>
  </si>
  <si>
    <t>E10.311/E10.319</t>
  </si>
  <si>
    <t>Smoker's cough</t>
  </si>
  <si>
    <t>J41.0</t>
  </si>
  <si>
    <t>DM 1 with proliferative retinopathy with/without macular edema</t>
  </si>
  <si>
    <t>E10.351/E10.359</t>
  </si>
  <si>
    <t>Pulmonary fibrosis</t>
  </si>
  <si>
    <t>J84.10</t>
  </si>
  <si>
    <t>DM 1 with peripheral vascular disease</t>
  </si>
  <si>
    <t>E10.51</t>
  </si>
  <si>
    <t>Bronchiectasis</t>
  </si>
  <si>
    <t>J47.9</t>
  </si>
  <si>
    <t>Amputation Status</t>
  </si>
  <si>
    <t>Status toe amputation</t>
  </si>
  <si>
    <t>Z89.429</t>
  </si>
  <si>
    <t>Chronic respiratory failure</t>
  </si>
  <si>
    <t>J96.10</t>
  </si>
  <si>
    <t>Status foot amputation</t>
  </si>
  <si>
    <t>Z89.439</t>
  </si>
  <si>
    <t>Chronic Kidney Disease</t>
  </si>
  <si>
    <t>CKD Stage 4</t>
  </si>
  <si>
    <t>N18.4</t>
  </si>
  <si>
    <t>Status below the knee amputation</t>
  </si>
  <si>
    <t>Z89.519</t>
  </si>
  <si>
    <t>CKD Stage 5</t>
  </si>
  <si>
    <t>N18.5</t>
  </si>
  <si>
    <t>Status above knee amputation</t>
  </si>
  <si>
    <t>Z89.619</t>
  </si>
  <si>
    <t>Hyperparathyroidism from renal disease</t>
  </si>
  <si>
    <t>N25.81</t>
  </si>
  <si>
    <t>Artifical Openings</t>
  </si>
  <si>
    <t>Gastrostomy status</t>
  </si>
  <si>
    <t>Z93.1</t>
  </si>
  <si>
    <t>Neurology</t>
  </si>
  <si>
    <t>Parkinson's disease</t>
  </si>
  <si>
    <t>G20</t>
  </si>
  <si>
    <t>Ileostomy/colostomy status</t>
  </si>
  <si>
    <t>Z93.2/Z93.3</t>
  </si>
  <si>
    <t>Persistent hemiparesis/hemiplegia following CVA</t>
  </si>
  <si>
    <t>I69.359</t>
  </si>
  <si>
    <t>Tracheostomy status</t>
  </si>
  <si>
    <t>Z93.0</t>
  </si>
  <si>
    <t>Seizure/Convulsion</t>
  </si>
  <si>
    <t>R56.9</t>
  </si>
  <si>
    <t>Nephrostomy status</t>
  </si>
  <si>
    <t>Z93.6</t>
  </si>
  <si>
    <t>Epilipsy or Seizure disorder</t>
  </si>
  <si>
    <t>G40.909</t>
  </si>
  <si>
    <t>Behavioral Health</t>
  </si>
  <si>
    <t>Major depressive disorder (note single or recurrent &amp; severity)</t>
  </si>
  <si>
    <t>F32.0-F33.9</t>
  </si>
  <si>
    <t>Polyneuropathy, drug induced</t>
  </si>
  <si>
    <t>G62.0</t>
  </si>
  <si>
    <t>Bipolar disorder</t>
  </si>
  <si>
    <t>F31.0</t>
  </si>
  <si>
    <t>Polyneuropathy, alcoholic</t>
  </si>
  <si>
    <t>G62.1</t>
  </si>
  <si>
    <t>Opiod dependence, uncomplicated</t>
  </si>
  <si>
    <t>F11.20</t>
  </si>
  <si>
    <t>Multiple Sclerosis</t>
  </si>
  <si>
    <t>G35</t>
  </si>
  <si>
    <t>Alcohol dependence, uncomplicated</t>
  </si>
  <si>
    <t>F10.20</t>
  </si>
  <si>
    <t>Hematology/Oncology</t>
  </si>
  <si>
    <t>Thrombocytopenia</t>
  </si>
  <si>
    <t>D69.6</t>
  </si>
  <si>
    <t>Alcohol dependence, in remission</t>
  </si>
  <si>
    <t>F10.21</t>
  </si>
  <si>
    <t>Neutropenia</t>
  </si>
  <si>
    <t>D70.9</t>
  </si>
  <si>
    <t>Schizophrenia</t>
  </si>
  <si>
    <t>F20.9</t>
  </si>
  <si>
    <t>Aplastic anemia</t>
  </si>
  <si>
    <t>D61.9</t>
  </si>
  <si>
    <t>Vascular Disease</t>
  </si>
  <si>
    <t>Peripheral Vascular Disease</t>
  </si>
  <si>
    <t>I73.9</t>
  </si>
  <si>
    <t>Pancytopenia</t>
  </si>
  <si>
    <t>D61.818</t>
  </si>
  <si>
    <t>Aortic aneurysm: abdominal/thoracic</t>
  </si>
  <si>
    <t>I71.4/I71.2</t>
  </si>
  <si>
    <t>Pancytopenia - Drug induced</t>
  </si>
  <si>
    <t>Aortic Athersclerosis</t>
  </si>
  <si>
    <t>I70.0</t>
  </si>
  <si>
    <t>Pancytopenia - antineoplastic chemotherapy induced</t>
  </si>
  <si>
    <t>D61.810</t>
  </si>
  <si>
    <t>Chronic DVT of lower extremity</t>
  </si>
  <si>
    <t>I82.509</t>
  </si>
  <si>
    <t>Metastasis to lymph nodes (specify site)</t>
  </si>
  <si>
    <t>C77.0-C77.9</t>
  </si>
  <si>
    <t>2.625 or 0.677</t>
  </si>
  <si>
    <t>Varicose veins of lower extremity with ulcer</t>
  </si>
  <si>
    <t>I83.009</t>
  </si>
  <si>
    <t>Nutrition</t>
  </si>
  <si>
    <t>Protein-calorie malnutrition (mild, mod, severe)</t>
  </si>
  <si>
    <t>E44.1/E44.0/E43</t>
  </si>
  <si>
    <t>Morbid Obesity</t>
  </si>
  <si>
    <t>E66.01</t>
  </si>
  <si>
    <t>Cachexia</t>
  </si>
  <si>
    <t>R64</t>
  </si>
  <si>
    <t>More than one diagnoses code, ED visit that results in Inpatient stay, patient on antibiotic on day of diagnoses or 30 days prior
Hospice</t>
  </si>
  <si>
    <t>Dx of pharyngitis during July 1 2017 to June 30 2018</t>
  </si>
  <si>
    <t>Group A Strep test before Rx</t>
  </si>
  <si>
    <t>prn</t>
  </si>
  <si>
    <t>CWP</t>
  </si>
  <si>
    <t>3-18 years</t>
  </si>
  <si>
    <t>Appropriate Testing for Children with Pharyngitis</t>
  </si>
  <si>
    <t>Patient on antibiotics 30 days prior to Bronchitis dx
Co-morbid conditions within 12 months of dx (HIV, Malignancy, Emphysema, COPD, Cystic Fibrosis, Immune System Disorders)
Patients with Competing Diagnoses (Pharyngitis, Pneumonia)
Hospice</t>
  </si>
  <si>
    <t>Dx of acute bronchitis</t>
  </si>
  <si>
    <t>No Antibiotics within 3 days after dx of Acute Bronchitis</t>
  </si>
  <si>
    <t>AAB</t>
  </si>
  <si>
    <t>18-64 years</t>
  </si>
  <si>
    <t>Avoidance of Antibiotic Treatment for Adults with Acute Bronchitis</t>
  </si>
  <si>
    <t>Hospice</t>
  </si>
  <si>
    <t>Acute Respiratory Failure</t>
  </si>
  <si>
    <t xml:space="preserve">Cystic Fibrosis </t>
  </si>
  <si>
    <t>COPD</t>
  </si>
  <si>
    <t>Emphysema, Chronic respiratory conditions d/t fumes/vapors</t>
  </si>
  <si>
    <t>ED or inpatient encounter with a dx of asthma; or 4 outpatient visits with a dx of asthma and 2 asthma med dispensing events; or 4 asthma med dispensing events</t>
  </si>
  <si>
    <r>
      <t xml:space="preserve">Controller Medications must account for &gt;=50% of total asthma meds </t>
    </r>
    <r>
      <rPr>
        <b/>
        <sz val="10"/>
        <rFont val="Arial"/>
        <family val="2"/>
      </rPr>
      <t>dispensed</t>
    </r>
    <r>
      <rPr>
        <sz val="10"/>
        <rFont val="Arial"/>
        <family val="2"/>
      </rPr>
      <t xml:space="preserve"> to patient (controller meds &gt; relief meds)</t>
    </r>
  </si>
  <si>
    <t>AMR</t>
  </si>
  <si>
    <t>5-64 years</t>
  </si>
  <si>
    <t>Asthma Medication Ratio</t>
  </si>
  <si>
    <t>RESPIRATORY</t>
  </si>
  <si>
    <t>BMD Test 24 months prior or any osteoporosis treatment 12 months prior 
Hospice</t>
  </si>
  <si>
    <t>Bone mineral density test or prescription for a drug to treat or prevent osteoporosis within 6 months after the fracture</t>
  </si>
  <si>
    <t>OMW</t>
  </si>
  <si>
    <t>67-85 years</t>
  </si>
  <si>
    <t>Osteoporosis Management in Women Who Had A Fracture</t>
  </si>
  <si>
    <t xml:space="preserve">Pregnancy </t>
  </si>
  <si>
    <r>
      <t>HIV</t>
    </r>
    <r>
      <rPr>
        <sz val="10"/>
        <color indexed="36"/>
        <rFont val="Arial"/>
        <family val="2"/>
      </rPr>
      <t xml:space="preserve"> </t>
    </r>
  </si>
  <si>
    <t xml:space="preserve">Dx of rheumatoid arthritis </t>
  </si>
  <si>
    <t>At least one ambulatory prescription dispensed for DMARD</t>
  </si>
  <si>
    <t>ART</t>
  </si>
  <si>
    <t>18 years and older</t>
  </si>
  <si>
    <t>Disease-Modifying Anti-Rheumatic Drug Therapy for Rheumatoid Arthritis</t>
  </si>
  <si>
    <t>Neurological Impairment</t>
  </si>
  <si>
    <r>
      <t>Recent Trauma</t>
    </r>
    <r>
      <rPr>
        <sz val="10"/>
        <color indexed="36"/>
        <rFont val="Arial"/>
        <family val="2"/>
      </rPr>
      <t xml:space="preserve"> </t>
    </r>
  </si>
  <si>
    <t>Cancer Diagnosis</t>
  </si>
  <si>
    <r>
      <t>Previous Injury</t>
    </r>
    <r>
      <rPr>
        <sz val="10"/>
        <color indexed="36"/>
        <rFont val="Arial"/>
        <family val="2"/>
      </rPr>
      <t xml:space="preserve"> </t>
    </r>
  </si>
  <si>
    <t>No Imaging within 28 days of diagnosis
Imaging acceptable for chronic LBP due to trauma injury to trunk
Imaging acceptable for neuralgia and neuritis, and radiculopathy</t>
  </si>
  <si>
    <t>LBP</t>
  </si>
  <si>
    <t>18-50 years</t>
  </si>
  <si>
    <t>Low Back Pain</t>
  </si>
  <si>
    <t>MUSCULOSKELETAL</t>
  </si>
  <si>
    <t>Diabetes, Pregnancy, ESRD or kidney transplant
Hospice</t>
  </si>
  <si>
    <t>Dx of Hypertension</t>
  </si>
  <si>
    <t>18-59 y.o.:  last recorded BP &lt;140/90 in 2018
60-85 y.o.: last recorded BP &lt;150/90 in 2018</t>
  </si>
  <si>
    <t>Annual</t>
  </si>
  <si>
    <t>BP Control</t>
  </si>
  <si>
    <t xml:space="preserve">18-85 years   </t>
  </si>
  <si>
    <t>Blood Pressure Control</t>
  </si>
  <si>
    <t>Diuretics</t>
  </si>
  <si>
    <t>Digoxin</t>
  </si>
  <si>
    <t>Patients who had an inpatient stay (acute or non-acute) in the measurement year 
Hospice</t>
  </si>
  <si>
    <t xml:space="preserve">Members who were prescribed 180 treatment days </t>
  </si>
  <si>
    <t>CMP or BMP or Potassium (K+) and Creatinine (Cr) completed in 2018, plus serum digoxin if Rx digoxin</t>
  </si>
  <si>
    <t>ACE/ARBs</t>
  </si>
  <si>
    <t>Annual Monitoring for Patients on Persistent Medications - MPM</t>
  </si>
  <si>
    <t>CARDIOVASCULAR CARE</t>
  </si>
  <si>
    <t>Retinal eye exam from an eye care professional in 2018 or a negative retinal eye exam in 2017</t>
  </si>
  <si>
    <t>Every 2 years</t>
  </si>
  <si>
    <t>Eye Exam</t>
  </si>
  <si>
    <t>Blood Pressure &lt;140/90 recorded in 2018. Last BP recording in the year. No BP = Uncontrolled</t>
  </si>
  <si>
    <t>Urine Microalbumin/Creatinine Ratio Test or Urine Analysis completed in 2018.
--OR--
At least once ACE/ARB Dispensing, Evidence of Kidney diseases, transplant, visit with Nephrologist in 2018.</t>
  </si>
  <si>
    <t>NEPH</t>
  </si>
  <si>
    <t>Gestational Diabetes, Steroid Induced Diabetes without a diagnosis of type 1 or type 2 diabetes. 
Note on Rx inclusion - Glucophage/metformin is not included because it is used to treat conditions other than diabetes; members with diabetes on these medications are identified through diagnosis codes only.
Hospice</t>
  </si>
  <si>
    <t>Dx of Type 1 or 2 Diabetes
--OR--
Rx of any of the below:
1) alpha-glucosidase inhibitors
2) amylin analogs
3) antidiabetic combinations
4) insulin
5) meglitinides
6) glucagon-like peptide-1 (GLP1) agonists
7) sodium glucose cotransporter 2 (SGLT2) inhibitor
8) sulfonylureas
9) thiazolidinediones
10) dipeptidyl peptidase-4 (DDP-4) inhibitors</t>
  </si>
  <si>
    <t>HbA1c Control &lt; 8.0% in most recent 2018 test
A1c &gt; 9.0% is poorly controlled and counted in "A1c Poor Control" metric. No A1c in 2018= Uncontrolled</t>
  </si>
  <si>
    <t>A1C</t>
  </si>
  <si>
    <t>18-75 years</t>
  </si>
  <si>
    <r>
      <t xml:space="preserve">Optimal Diabetes Care. </t>
    </r>
    <r>
      <rPr>
        <sz val="10"/>
        <rFont val="Arial"/>
        <family val="2"/>
      </rPr>
      <t>Includes completion of 4 measures (A1cx2, A1c Control, nephropathy screening, BP Control, Eye Exam)</t>
    </r>
  </si>
  <si>
    <t>DIABETES CARE</t>
  </si>
  <si>
    <t>2 doses</t>
  </si>
  <si>
    <t>HPV</t>
  </si>
  <si>
    <t>9-13 years</t>
  </si>
  <si>
    <t>1 dose</t>
  </si>
  <si>
    <t>MENIN</t>
  </si>
  <si>
    <t>11-13 years</t>
  </si>
  <si>
    <r>
      <t>Anaphylactic reaction</t>
    </r>
    <r>
      <rPr>
        <sz val="10"/>
        <color indexed="36"/>
        <rFont val="Arial"/>
        <family val="2"/>
      </rPr>
      <t xml:space="preserve"> </t>
    </r>
  </si>
  <si>
    <t>Adolescents turning 13 in 2018</t>
  </si>
  <si>
    <t>1 dose of Tdap, 1 dose of Meningococcal and 2 HPV doses (at least 146 days apart) for both male &amp; female</t>
  </si>
  <si>
    <t>TDAP</t>
  </si>
  <si>
    <t>10-13 years</t>
  </si>
  <si>
    <t>Adolescent Immunizations</t>
  </si>
  <si>
    <t>Influenza</t>
  </si>
  <si>
    <t>2-3 doses</t>
  </si>
  <si>
    <t>RV</t>
  </si>
  <si>
    <t>RV: severe combined immunodeficiency, intussusception Hx</t>
  </si>
  <si>
    <t>4 doses</t>
  </si>
  <si>
    <t>PCV</t>
  </si>
  <si>
    <t>Hx of illness (e.g.. Hep B, Hep A, chickenpox, mumps, measles, or rubella)</t>
  </si>
  <si>
    <t>VZV</t>
  </si>
  <si>
    <t>Hepatitis B: anaphylactic reaction to common baker’s yeast</t>
  </si>
  <si>
    <t>3 doses</t>
  </si>
  <si>
    <t>Hep B</t>
  </si>
  <si>
    <t>Hep A</t>
  </si>
  <si>
    <r>
      <rPr>
        <sz val="10"/>
        <color indexed="8"/>
        <rFont val="Arial"/>
        <family val="2"/>
      </rPr>
      <t xml:space="preserve">MMR,VZV and influenza: immunodeficiency, HIV type 1 &amp;2, lymphoreticular cancer, multiple myeloma or leukemia, anaphylactic reaction to neomycin </t>
    </r>
  </si>
  <si>
    <t>HiB</t>
  </si>
  <si>
    <t>IPV: anaphylactic reaction to Neomycin, Streptomycin or Polymixin B</t>
  </si>
  <si>
    <t>MMR</t>
  </si>
  <si>
    <t>DTaP: encephalopathy</t>
  </si>
  <si>
    <r>
      <rPr>
        <i/>
        <sz val="10"/>
        <color indexed="8"/>
        <rFont val="Arial"/>
        <family val="2"/>
      </rPr>
      <t>Unqualified Doses</t>
    </r>
    <r>
      <rPr>
        <sz val="10"/>
        <color indexed="8"/>
        <rFont val="Arial"/>
        <family val="2"/>
      </rPr>
      <t xml:space="preserve">: 
• IPV, DTaP, HiB, or PVC doses given prior to 42 days old
• Influenza doses given prior to 180 days old </t>
    </r>
  </si>
  <si>
    <t>IPV</t>
  </si>
  <si>
    <t xml:space="preserve">Anaphylactic reaction </t>
  </si>
  <si>
    <t>All children turning 2 in 2018</t>
  </si>
  <si>
    <r>
      <t xml:space="preserve">Full Series </t>
    </r>
    <r>
      <rPr>
        <b/>
        <sz val="10"/>
        <rFont val="Arial"/>
        <family val="2"/>
      </rPr>
      <t xml:space="preserve">before </t>
    </r>
    <r>
      <rPr>
        <sz val="10"/>
        <rFont val="Arial"/>
        <family val="2"/>
      </rPr>
      <t>age 2</t>
    </r>
  </si>
  <si>
    <t>DTaP</t>
  </si>
  <si>
    <t>0-2 years</t>
  </si>
  <si>
    <t>Childhood Immunizations</t>
  </si>
  <si>
    <t>Pregnancy test within 7 days of an x-ray or Rx for Isotretinoin
Hospice</t>
  </si>
  <si>
    <t>Prescription for Contraceptive or Sexually Active</t>
  </si>
  <si>
    <t>GC Chlamydia by Urine or Path Report from Pap, completed in 2018</t>
  </si>
  <si>
    <t>CHL</t>
  </si>
  <si>
    <t>16-24 years</t>
  </si>
  <si>
    <t>Chlamydia Screening</t>
  </si>
  <si>
    <t>Every 3 years</t>
  </si>
  <si>
    <t>FIT-DNA</t>
  </si>
  <si>
    <t>Every 5 years</t>
  </si>
  <si>
    <t>CT Colonography</t>
  </si>
  <si>
    <t>FLEXI</t>
  </si>
  <si>
    <t xml:space="preserve">Total Colectomy </t>
  </si>
  <si>
    <t>Every 10 years</t>
  </si>
  <si>
    <t>COL</t>
  </si>
  <si>
    <t>Colorectal Cancer</t>
  </si>
  <si>
    <t>51-75 year olds</t>
  </si>
  <si>
    <t>FOBT completed in 2018, Colonoscopy between 2009-2018, sigmoidoscopy or CT colonography between 2014-2018, or FIT-DNA test 2016-2018.</t>
  </si>
  <si>
    <t>50-75 years</t>
  </si>
  <si>
    <t>Colorectal Cancer Screening</t>
  </si>
  <si>
    <t>Age 24-64: 2 or more PAPs for asymptomatic women in 3 years (if 24 yrs, more than 1 since age 21)
Women aged 30-64: With two or more cervical cancer screenings with an HPV test in 5 years</t>
  </si>
  <si>
    <t>Over-screened</t>
  </si>
  <si>
    <t>CCO</t>
  </si>
  <si>
    <t>21-64 years</t>
  </si>
  <si>
    <t>Pap Smear co-tested for HPV in 2014, 2015, 2016, 2017 or 2018</t>
  </si>
  <si>
    <t>Every 5 years if screened at same time for HPV</t>
  </si>
  <si>
    <t>30-64 years</t>
  </si>
  <si>
    <r>
      <t xml:space="preserve">Hysterectomy (does not include when cervix remains) or other acquired absence of the cervix
Hospice
</t>
    </r>
    <r>
      <rPr>
        <u/>
        <sz val="10"/>
        <rFont val="Arial"/>
        <family val="2"/>
      </rPr>
      <t>Over-screening Exclusions:</t>
    </r>
    <r>
      <rPr>
        <sz val="10"/>
        <rFont val="Arial"/>
        <family val="2"/>
      </rPr>
      <t xml:space="preserve">
</t>
    </r>
    <r>
      <rPr>
        <b/>
        <sz val="10"/>
        <rFont val="Arial"/>
        <family val="2"/>
      </rPr>
      <t>At anytime during the patient's life -</t>
    </r>
    <r>
      <rPr>
        <sz val="10"/>
        <rFont val="Arial"/>
        <family val="2"/>
      </rPr>
      <t xml:space="preserve">
DES exposure
Cervical Cancer
Immunodeficiency
HIV
</t>
    </r>
    <r>
      <rPr>
        <b/>
        <sz val="10"/>
        <rFont val="Arial"/>
        <family val="2"/>
      </rPr>
      <t xml:space="preserve">During 2013, 2014, 2015, 2016 or 2017 - </t>
    </r>
    <r>
      <rPr>
        <sz val="10"/>
        <rFont val="Arial"/>
        <family val="2"/>
      </rPr>
      <t xml:space="preserve">
Dysplasia
Nonspecific Abnormal Pap
HPV</t>
    </r>
  </si>
  <si>
    <t>Reported on women ages 24-64</t>
  </si>
  <si>
    <t xml:space="preserve">Pap Smear completed in 2016, 2017 or 2018
</t>
  </si>
  <si>
    <t>Every 3 years Unless High Risk Exclusion Code</t>
  </si>
  <si>
    <t>CCS</t>
  </si>
  <si>
    <t>Bilateral Mastectomy
Hospice</t>
  </si>
  <si>
    <t>Reported on women ages 52-74</t>
  </si>
  <si>
    <t>Screening Mammogram, completed in 2017 or 2018</t>
  </si>
  <si>
    <t>BCS</t>
  </si>
  <si>
    <t>50-74 years</t>
  </si>
  <si>
    <t>Pregnancy
Hospice</t>
  </si>
  <si>
    <t>Outpatient office visit in 2017 or 2018</t>
  </si>
  <si>
    <t>Documented BMI in 2017 or 2018</t>
  </si>
  <si>
    <t>BMI</t>
  </si>
  <si>
    <t>18-74 years</t>
  </si>
  <si>
    <t>BMI Assessment</t>
  </si>
  <si>
    <t>PREVENTIVE CARE</t>
  </si>
  <si>
    <t>EXCLUSION CODES</t>
  </si>
  <si>
    <t>INCLUSION CRITERIA</t>
  </si>
  <si>
    <t>DESIRED CARE</t>
  </si>
  <si>
    <t>FREQUENCY</t>
  </si>
  <si>
    <t>SUBCODE(S)</t>
  </si>
  <si>
    <t>AGE</t>
  </si>
  <si>
    <t>MEASURE</t>
  </si>
  <si>
    <t>P4P QUALITY MEASURE OVERVIEW 2018 (based upon IHA Measurement Year 2017 VBP4P Manual 12/01/2017)</t>
  </si>
  <si>
    <r>
      <t xml:space="preserve">Dx of pharyngitis during July 1 2017 to June 30 2018
</t>
    </r>
    <r>
      <rPr>
        <sz val="10"/>
        <rFont val="Arial"/>
        <family val="2"/>
      </rPr>
      <t>J02.0, J02.8, J02.9, J03.00, J03.01, J03.80, J03.81, J03.90, J03.91</t>
    </r>
  </si>
  <si>
    <r>
      <t xml:space="preserve">Group A Strep test before Rx
</t>
    </r>
    <r>
      <rPr>
        <sz val="10"/>
        <rFont val="Arial"/>
        <family val="2"/>
      </rPr>
      <t>87070, 87071, 87081, 87430, 87650, 87651, 87652, 87880</t>
    </r>
  </si>
  <si>
    <t>Patient on antibiotics 30 days prior to Bronchitis dx
Co-morbid conditions within 12 months of dx (HIV, Malignancy, Emphysema, COPD, Cystic Fibrosis, Immune System Disorders) - (2745 Codes)
Patients with Competing Diagnoses (1304 codes)
Hospice</t>
  </si>
  <si>
    <r>
      <rPr>
        <u/>
        <sz val="10"/>
        <rFont val="Arial"/>
        <family val="2"/>
      </rPr>
      <t>Dx of acute bronchitis</t>
    </r>
    <r>
      <rPr>
        <sz val="10"/>
        <rFont val="Arial"/>
        <family val="2"/>
      </rPr>
      <t xml:space="preserve">
J20.3, J20.4, J20.5, J20.6, J20.7, J20.8, J20.9</t>
    </r>
  </si>
  <si>
    <r>
      <rPr>
        <u/>
        <sz val="10"/>
        <rFont val="Arial"/>
        <family val="2"/>
      </rPr>
      <t>Acute Respiratory Failure</t>
    </r>
    <r>
      <rPr>
        <sz val="10"/>
        <rFont val="Arial"/>
        <family val="2"/>
      </rPr>
      <t xml:space="preserve"> - J96.00, J96.01, J96.20, J96.21, J96.22</t>
    </r>
  </si>
  <si>
    <r>
      <rPr>
        <u/>
        <sz val="10"/>
        <rFont val="Arial"/>
        <family val="2"/>
      </rPr>
      <t>Cystic Fibrosis</t>
    </r>
    <r>
      <rPr>
        <sz val="10"/>
        <rFont val="Arial"/>
        <family val="2"/>
      </rPr>
      <t xml:space="preserve"> - E84.0, E84.11, E84.19, E84.8, E84.9</t>
    </r>
  </si>
  <si>
    <r>
      <rPr>
        <u/>
        <sz val="10"/>
        <rFont val="Arial"/>
        <family val="2"/>
      </rPr>
      <t>COPD</t>
    </r>
    <r>
      <rPr>
        <sz val="10"/>
        <rFont val="Arial"/>
        <family val="2"/>
      </rPr>
      <t xml:space="preserve"> - J44.0, J44.1, J44.9</t>
    </r>
    <r>
      <rPr>
        <u/>
        <sz val="10"/>
        <rFont val="Arial"/>
        <family val="2"/>
      </rPr>
      <t/>
    </r>
  </si>
  <si>
    <r>
      <rPr>
        <u/>
        <sz val="10"/>
        <rFont val="Arial"/>
        <family val="2"/>
      </rPr>
      <t>Emphysema</t>
    </r>
    <r>
      <rPr>
        <sz val="10"/>
        <rFont val="Arial"/>
        <family val="2"/>
      </rPr>
      <t xml:space="preserve"> - J43.0, J43.1, J43.2, J43.8, J43.9
</t>
    </r>
    <r>
      <rPr>
        <u/>
        <sz val="10"/>
        <rFont val="Arial"/>
        <family val="2"/>
      </rPr>
      <t>Chronic respiratory conditions d/t fumes/vapors</t>
    </r>
    <r>
      <rPr>
        <sz val="10"/>
        <rFont val="Arial"/>
        <family val="2"/>
      </rPr>
      <t xml:space="preserve"> - J68.4</t>
    </r>
  </si>
  <si>
    <r>
      <rPr>
        <u/>
        <sz val="10"/>
        <rFont val="Arial"/>
        <family val="2"/>
      </rPr>
      <t>Asthma</t>
    </r>
    <r>
      <rPr>
        <sz val="10"/>
        <rFont val="Arial"/>
        <family val="2"/>
      </rPr>
      <t xml:space="preserve">
J45.20, J45.21, J45.22, J45.30, J45.31, J45.32, J45.40, J45.41, J45.42, J45.50, J45.51, J45.52, J45.901, J45.902, J45.909, J45.990, J45.991, J45.998</t>
    </r>
  </si>
  <si>
    <r>
      <rPr>
        <u/>
        <sz val="10"/>
        <rFont val="Arial"/>
        <family val="2"/>
      </rPr>
      <t>Fracture</t>
    </r>
    <r>
      <rPr>
        <sz val="10"/>
        <rFont val="Arial"/>
        <family val="2"/>
      </rPr>
      <t xml:space="preserve"> - (3938 codes)</t>
    </r>
  </si>
  <si>
    <r>
      <rPr>
        <u/>
        <sz val="10"/>
        <rFont val="Arial"/>
        <family val="2"/>
      </rPr>
      <t>Bone mineral density test</t>
    </r>
    <r>
      <rPr>
        <sz val="10"/>
        <rFont val="Arial"/>
        <family val="2"/>
      </rPr>
      <t xml:space="preserve">
76977, 77078, 77080, 77081, 77082, 77085, 77086, G0130
</t>
    </r>
    <r>
      <rPr>
        <u/>
        <sz val="10"/>
        <rFont val="Arial"/>
        <family val="2"/>
      </rPr>
      <t>Osteoporosis Medications</t>
    </r>
    <r>
      <rPr>
        <sz val="10"/>
        <rFont val="Arial"/>
        <family val="2"/>
      </rPr>
      <t xml:space="preserve">
J0630, J0897, J1740, J3110, J3487, J3488, J3489, Q2051</t>
    </r>
  </si>
  <si>
    <r>
      <rPr>
        <u/>
        <sz val="10"/>
        <rFont val="Arial"/>
        <family val="2"/>
      </rPr>
      <t>Dx of rheumatoid arthritis</t>
    </r>
    <r>
      <rPr>
        <sz val="10"/>
        <rFont val="Arial"/>
        <family val="2"/>
      </rPr>
      <t xml:space="preserve"> (310 codes)</t>
    </r>
  </si>
  <si>
    <t>Neurological Impairment - G83.4</t>
  </si>
  <si>
    <r>
      <t>Recent Trauma</t>
    </r>
    <r>
      <rPr>
        <sz val="10"/>
        <color indexed="36"/>
        <rFont val="Arial"/>
        <family val="2"/>
      </rPr>
      <t xml:space="preserve"> (19836 codes)</t>
    </r>
  </si>
  <si>
    <t>Cancer Diagnosis at anytime during member history</t>
  </si>
  <si>
    <r>
      <t>Previous Injury</t>
    </r>
    <r>
      <rPr>
        <sz val="10"/>
        <color indexed="36"/>
        <rFont val="Arial"/>
        <family val="2"/>
      </rPr>
      <t xml:space="preserve"> within the previous 180 days</t>
    </r>
  </si>
  <si>
    <r>
      <rPr>
        <u/>
        <sz val="10"/>
        <rFont val="Arial"/>
        <family val="2"/>
      </rPr>
      <t>Uncomplicated Low Back Pain</t>
    </r>
    <r>
      <rPr>
        <sz val="10"/>
        <rFont val="Arial"/>
        <family val="2"/>
      </rPr>
      <t xml:space="preserve"> - (106 codes)</t>
    </r>
  </si>
  <si>
    <t>Diabetes, Pregnancy, ESRD or kidney transplant (codes as above)
Hospice</t>
  </si>
  <si>
    <t>Dx of Hypertension - I10</t>
  </si>
  <si>
    <t>3074F, 3075F Systolic less than 140 
3078F Diastolic less than 80, 3079F Diastolic 80-89
(most recent value in 2018)</t>
  </si>
  <si>
    <r>
      <rPr>
        <u/>
        <sz val="10"/>
        <rFont val="Arial"/>
        <family val="2"/>
      </rPr>
      <t>2017 Acute Inpatient</t>
    </r>
    <r>
      <rPr>
        <sz val="10"/>
        <rFont val="Arial"/>
        <family val="2"/>
      </rPr>
      <t xml:space="preserve">
99221, 99222, 99223, 99231, 99232, 99233, 99238, 99239, 99251, 99252, 99253, 99254, 99255, 99291
</t>
    </r>
    <r>
      <rPr>
        <u/>
        <sz val="10"/>
        <rFont val="Arial"/>
        <family val="2"/>
      </rPr>
      <t>2017 Nonacute Inpatient</t>
    </r>
    <r>
      <rPr>
        <sz val="10"/>
        <rFont val="Arial"/>
        <family val="2"/>
      </rPr>
      <t xml:space="preserve">
99304, 99305, 99306, 99307, 99308, 99309, 99310, 99315, 99316, 99318, 99324, 99325, 99326, 99327, 99328, 99334, 99335, 99336, 99337
Hospice</t>
    </r>
  </si>
  <si>
    <r>
      <t>Lab Panel</t>
    </r>
    <r>
      <rPr>
        <sz val="10"/>
        <rFont val="Arial"/>
        <family val="2"/>
      </rPr>
      <t xml:space="preserve"> 
80047, 80048, 80050, 80053
</t>
    </r>
    <r>
      <rPr>
        <u/>
        <sz val="10"/>
        <rFont val="Arial"/>
        <family val="2"/>
      </rPr>
      <t>Serum Creatinine</t>
    </r>
    <r>
      <rPr>
        <sz val="10"/>
        <rFont val="Arial"/>
        <family val="2"/>
      </rPr>
      <t xml:space="preserve">
82565, 82575
</t>
    </r>
    <r>
      <rPr>
        <u/>
        <sz val="10"/>
        <rFont val="Arial"/>
        <family val="2"/>
      </rPr>
      <t>Serum Postassium</t>
    </r>
    <r>
      <rPr>
        <sz val="10"/>
        <rFont val="Arial"/>
        <family val="2"/>
      </rPr>
      <t xml:space="preserve">
80051, 84132
</t>
    </r>
    <r>
      <rPr>
        <u/>
        <sz val="10"/>
        <rFont val="Arial"/>
        <family val="2"/>
      </rPr>
      <t>Digoxin Level</t>
    </r>
    <r>
      <rPr>
        <sz val="10"/>
        <rFont val="Arial"/>
        <family val="2"/>
      </rPr>
      <t xml:space="preserve">
80162</t>
    </r>
  </si>
  <si>
    <r>
      <rPr>
        <u/>
        <sz val="10"/>
        <rFont val="Arial"/>
        <family val="2"/>
      </rPr>
      <t>Diabetic Retinal Screening: (by eye care professional)</t>
    </r>
    <r>
      <rPr>
        <sz val="10"/>
        <rFont val="Arial"/>
        <family val="2"/>
      </rPr>
      <t xml:space="preserve">
67028, 67030, 67031, 67036, 67039, 67040, 67041, 67042, 67043, 67101, 67105, 67107, 67108, 67110, 67113, 67121, 67141, 67145, 67208, 67210, 67218, 67220, 67221, 67227, 67228
92002, 92004, 92012, 92014, 92018, 92019, 92134
92225, 92226, 92227, 92228, 92230, 92235, 92240, 92250, 92260, 99203, 99204, 99205, 99213, 99214, 99215, 99242, 99243, 99244, 99245
S0620, S0621, S3000
</t>
    </r>
    <r>
      <rPr>
        <u/>
        <sz val="10"/>
        <rFont val="Arial"/>
        <family val="2"/>
      </rPr>
      <t>To indicate negative for retinopathy:</t>
    </r>
    <r>
      <rPr>
        <sz val="10"/>
        <rFont val="Arial"/>
        <family val="2"/>
      </rPr>
      <t xml:space="preserve">
E10.9, E11.9, E13.9, 3072F
</t>
    </r>
    <r>
      <rPr>
        <u/>
        <sz val="10"/>
        <rFont val="Arial"/>
        <family val="2"/>
      </rPr>
      <t>To indicate screening with an Eye Care Professional:</t>
    </r>
    <r>
      <rPr>
        <sz val="10"/>
        <rFont val="Arial"/>
        <family val="2"/>
      </rPr>
      <t xml:space="preserve">
2022F, 2024F, 2026F
Note - All codes must be on the same claim</t>
    </r>
  </si>
  <si>
    <t>Every 1-2 years</t>
  </si>
  <si>
    <r>
      <rPr>
        <u/>
        <sz val="10"/>
        <rFont val="Arial"/>
        <family val="2"/>
      </rPr>
      <t>Urine Protein Tests</t>
    </r>
    <r>
      <rPr>
        <sz val="10"/>
        <rFont val="Arial"/>
        <family val="2"/>
      </rPr>
      <t xml:space="preserve">
81000, 81001, 81002, 81003, 81005
82042, 82043, 82044, 84156, 3060F, 3061F, 3062F
</t>
    </r>
    <r>
      <rPr>
        <u/>
        <sz val="10"/>
        <rFont val="Arial"/>
        <family val="2"/>
      </rPr>
      <t>Nephropathy Treatment</t>
    </r>
    <r>
      <rPr>
        <sz val="10"/>
        <rFont val="Arial"/>
        <family val="2"/>
      </rPr>
      <t xml:space="preserve"> (156 codes)
</t>
    </r>
    <r>
      <rPr>
        <u/>
        <sz val="10"/>
        <rFont val="Arial"/>
        <family val="2"/>
      </rPr>
      <t>Stage 4 Chronic Kidney Disease</t>
    </r>
    <r>
      <rPr>
        <sz val="10"/>
        <rFont val="Arial"/>
        <family val="2"/>
      </rPr>
      <t xml:space="preserve">
N18.4
</t>
    </r>
    <r>
      <rPr>
        <u/>
        <sz val="10"/>
        <rFont val="Arial"/>
        <family val="2"/>
      </rPr>
      <t>End-stage Renal Disease (ESRD)</t>
    </r>
    <r>
      <rPr>
        <sz val="10"/>
        <rFont val="Arial"/>
        <family val="2"/>
      </rPr>
      <t xml:space="preserve">
36147, 36800, 36810, 36815, 36818, 36820, 36821, 36831, 36832, 36833
90935, 90937, 90940, 9095, 90947, 90957, 90958, 90959, 90960, 90961,  90962, 90965, 90966, 90969, 90970, 90989, 90993, 90997, 90999, 99512
G0257, S9339
N18.5, N18.6, Z91.15, Z99.2
</t>
    </r>
    <r>
      <rPr>
        <u/>
        <sz val="10"/>
        <rFont val="Arial"/>
        <family val="2"/>
      </rPr>
      <t>Kidney Transplant</t>
    </r>
    <r>
      <rPr>
        <sz val="10"/>
        <rFont val="Arial"/>
        <family val="2"/>
      </rPr>
      <t xml:space="preserve">
50300, 50320, 5340, 50360, 50365, 50370, 50380
S2065, Z94.0
</t>
    </r>
    <r>
      <rPr>
        <u/>
        <sz val="10"/>
        <rFont val="Arial"/>
        <family val="2"/>
      </rPr>
      <t>An encounter with a Nephrologist for any reason</t>
    </r>
    <r>
      <rPr>
        <sz val="10"/>
        <rFont val="Arial"/>
        <family val="2"/>
      </rPr>
      <t xml:space="preserve">
</t>
    </r>
    <r>
      <rPr>
        <u/>
        <sz val="10"/>
        <rFont val="Arial"/>
        <family val="2"/>
      </rPr>
      <t>Rx ACE/ARB therapy dispensed</t>
    </r>
  </si>
  <si>
    <r>
      <rPr>
        <u/>
        <sz val="10"/>
        <rFont val="Arial"/>
        <family val="2"/>
      </rPr>
      <t>Gestational Diabetes or Steroid Induced Diabetes without a diagnosis of type 1 or type 2 diabetes</t>
    </r>
    <r>
      <rPr>
        <sz val="10"/>
        <rFont val="Arial"/>
        <family val="2"/>
      </rPr>
      <t>.  (99 Codes)
Note on Rx inclusion - Glucophage/metformin is not included because it is used to treat conditions other than diabetes; members with diabetes on these medications are identified through diagnosis codes only.
Hospice</t>
    </r>
  </si>
  <si>
    <t>Dx of Type 1 or 2 Diabetes (146 codes)
--OR--
Rx of any of the below:
1) alpha-glucosidase inhibitors
2) amylin analogs
3) antidiabetic combinations
4) insulin
5) meglitinides
6) glucagon-like peptide-1 (GLP1) agonists
7) sodium glucose cotransporter 2 (SGLT2) inhibitor
8) sulfonylureas
9) thiazolidinediones
10) dipeptidyl peptidase-4 (DDP-4) inhibitors</t>
  </si>
  <si>
    <t>Control - 3044F HbA1c &lt; 7.0, 3045F HbA1c 7.0 - 9.0
(most recent value in 2018)</t>
  </si>
  <si>
    <t>90649, 90650, 90651 (146 days apart)</t>
  </si>
  <si>
    <t>90644, 90734</t>
  </si>
  <si>
    <r>
      <rPr>
        <u/>
        <sz val="10"/>
        <rFont val="Arial"/>
        <family val="2"/>
      </rPr>
      <t>Anaphylactic reaction</t>
    </r>
    <r>
      <rPr>
        <sz val="10"/>
        <rFont val="Arial"/>
        <family val="2"/>
      </rPr>
      <t xml:space="preserve">
T80.52XA, T80.52XD, T80.52XS
</t>
    </r>
    <r>
      <rPr>
        <u/>
        <sz val="10"/>
        <rFont val="Arial"/>
        <family val="2"/>
      </rPr>
      <t>Hospice</t>
    </r>
  </si>
  <si>
    <t>90655, 90657, 90661, 90662, 90673, 90685, 90687, G0008</t>
  </si>
  <si>
    <t>90680 (3 Dose) or 90681 (2 Dose) - if mixed 3 doses are needed</t>
  </si>
  <si>
    <t>90669, 90670, G0009</t>
  </si>
  <si>
    <t>VZV Vaccine 90710, 90716 or 
VZV Dx B01.0, B01.11, B01.12, B01.2, B01.81, B01.89, B01.9, B02.0, B02.1, B02.21, B02.22, B02.23, B02.24, B02.29, B02.30, B02.31, B02.32, B02.33, B02.34, B02.39, B02.7, B02.8, B02.9</t>
  </si>
  <si>
    <t>Hep B Vaccine 90723, 90740, 90744, 90747, 90748 or
Hep B Dx B16.0, B16.1, B16.2, B16.9, B17.0, B18.0, B18.1, B19.10, B19.11, Z22.51</t>
  </si>
  <si>
    <t>Hep A Vaccine 90633 or
Hep A Dx B15.0 or Bx15.9</t>
  </si>
  <si>
    <t>90644, 90645, 90646, 90648, 90698, 90721, 90748</t>
  </si>
  <si>
    <t>MMR Vaccine 90707, 90710
--OR--
Measles/Rubella Vaccine 90708 AND
(Mumps Vaccine 90704 or Mumps Dx B26.0, B26.1, B26.2, B26.3, B26.81, B26.82, B26.83, B26.84, B26.85, B26.89, B26.9)
--OR--
(Measles Vaccine 90705 or Measles Dx B05.0, B05.1, B05.2, B05.3, B05.4, B05.81, B05.89, B05.9) AND
(Mumps Vaccine 90704 or Mumps Dx B26.0, B26.1, B26.2, B26.3, B26.81, B26.82, B26.83, B26.84, B26.85, B26.89, B26.9) AND
(Rubella Vaccine 90706 or Rubella Dx B06.00, B06.01, B06.02, B06.09, B06.81, B06.82, B06.89, B06.9)</t>
  </si>
  <si>
    <t>90698, 90713, 90723</t>
  </si>
  <si>
    <r>
      <rPr>
        <i/>
        <sz val="10"/>
        <rFont val="Arial"/>
        <family val="2"/>
      </rPr>
      <t>General Exclusions:</t>
    </r>
    <r>
      <rPr>
        <sz val="10"/>
        <rFont val="Arial"/>
        <family val="2"/>
      </rPr>
      <t xml:space="preserve">
</t>
    </r>
    <r>
      <rPr>
        <u/>
        <sz val="10"/>
        <rFont val="Arial"/>
        <family val="2"/>
      </rPr>
      <t>Anaphylactic reaction</t>
    </r>
    <r>
      <rPr>
        <sz val="10"/>
        <rFont val="Arial"/>
        <family val="2"/>
      </rPr>
      <t xml:space="preserve">
T80.52XA, T80.52XD, T80.52XS
</t>
    </r>
    <r>
      <rPr>
        <u/>
        <sz val="10"/>
        <rFont val="Arial"/>
        <family val="2"/>
      </rPr>
      <t>Hospice</t>
    </r>
    <r>
      <rPr>
        <sz val="10"/>
        <rFont val="Arial"/>
        <family val="2"/>
      </rPr>
      <t xml:space="preserve">
</t>
    </r>
    <r>
      <rPr>
        <i/>
        <sz val="10"/>
        <rFont val="Arial"/>
        <family val="2"/>
      </rPr>
      <t>Vaccine Specific Exclusions:</t>
    </r>
    <r>
      <rPr>
        <sz val="10"/>
        <rFont val="Arial"/>
        <family val="2"/>
      </rPr>
      <t xml:space="preserve">
</t>
    </r>
    <r>
      <rPr>
        <u/>
        <sz val="10"/>
        <rFont val="Arial"/>
        <family val="2"/>
      </rPr>
      <t>DTaP</t>
    </r>
    <r>
      <rPr>
        <sz val="10"/>
        <rFont val="Arial"/>
        <family val="2"/>
      </rPr>
      <t xml:space="preserve">
Encephalopathy G04.32 + (T50.A15A, T50.A15D, T50.A15S)
</t>
    </r>
    <r>
      <rPr>
        <u/>
        <sz val="10"/>
        <rFont val="Arial"/>
        <family val="2"/>
      </rPr>
      <t xml:space="preserve">IPV </t>
    </r>
    <r>
      <rPr>
        <sz val="10"/>
        <rFont val="Arial"/>
        <family val="2"/>
      </rPr>
      <t xml:space="preserve">
Anaphylactic reaction to Neomycin, Streptomycin or Polymixin B
</t>
    </r>
    <r>
      <rPr>
        <u/>
        <sz val="10"/>
        <rFont val="Arial"/>
        <family val="2"/>
      </rPr>
      <t>MMR, VZV and influenza</t>
    </r>
    <r>
      <rPr>
        <sz val="10"/>
        <rFont val="Arial"/>
        <family val="2"/>
      </rPr>
      <t xml:space="preserve">
Immunodeficiency
D80.0, D80.1, D80.2, D80.3, D80.4, D80.5, D80.6, D80.7, D80.8, D80.9
D81.0, D81.1, D81.2, D81.4, D81.6, D81.7, D81.89, D81.9
D82.0, D82.1, D82.2, D82.3, D82.4, D82.8, D82.9
D83.0, D83.1, D83.2, D83.8, D83.9
D84.0, D84.1, D84.8, D84.9
D89.3, D89.810, D89.811, D89.812, D89.813, D89.82, D89.89, D89.9
HIV types 1 &amp; 2
B20, B97.35, Z21
Malignant Neoplasm of Lymphatic Tissue - 473 codes
Anaphylactic reaction to neomycin 
</t>
    </r>
    <r>
      <rPr>
        <u/>
        <sz val="10"/>
        <rFont val="Arial"/>
        <family val="2"/>
      </rPr>
      <t>Hepatitis B</t>
    </r>
    <r>
      <rPr>
        <sz val="10"/>
        <rFont val="Arial"/>
        <family val="2"/>
      </rPr>
      <t xml:space="preserve"> 
Anaphylactic reaction to common baker’s yeast
</t>
    </r>
    <r>
      <rPr>
        <u/>
        <sz val="10"/>
        <rFont val="Arial"/>
        <family val="2"/>
      </rPr>
      <t>RV</t>
    </r>
    <r>
      <rPr>
        <sz val="10"/>
        <rFont val="Arial"/>
        <family val="2"/>
      </rPr>
      <t xml:space="preserve"> 
Severe combined immunodeficiency
D81.0, D81.1, D81.2, D81.9
Intussusception
K56.1</t>
    </r>
  </si>
  <si>
    <t>90698, 90700, 90721, 90723</t>
  </si>
  <si>
    <r>
      <rPr>
        <u/>
        <sz val="10"/>
        <rFont val="Arial"/>
        <family val="2"/>
      </rPr>
      <t>Only if patient is identified for the measure by having a Pregnancy Test</t>
    </r>
    <r>
      <rPr>
        <sz val="10"/>
        <rFont val="Arial"/>
        <family val="2"/>
      </rPr>
      <t xml:space="preserve">
Pregnancy Test within 7 days of an x-ray (378 CPT codes) or Rx for Isotretinoin
</t>
    </r>
    <r>
      <rPr>
        <u/>
        <sz val="10"/>
        <rFont val="Arial"/>
        <family val="2"/>
      </rPr>
      <t>Hospice</t>
    </r>
  </si>
  <si>
    <r>
      <rPr>
        <u/>
        <sz val="10"/>
        <rFont val="Arial"/>
        <family val="2"/>
      </rPr>
      <t>Prescription for Contraceptive</t>
    </r>
    <r>
      <rPr>
        <sz val="10"/>
        <rFont val="Arial"/>
        <family val="2"/>
      </rPr>
      <t xml:space="preserve">
Desogestrel-ethinyl estradiol
Drospirenone-ethinyl estradiol
Drospirenone-ethinyl estradiol-levomefolate biphasic
Estradiol-medroxyprogesterone
Ethinyl estradiol-ethynodiol
Ethinyl estradiol-etonogestrel
Ethinyl estradiol-levonorgestrel
Ethinyl estradiol-norelgestromin
Ethinyl estradiol-norethindrone
Ethinyl estradiol-norgestimate
Ethinyl estradiol-norgestrel
Etonogestrel
Levonorgestrel
Medroxyprogesterone
Mestranol-norethindrone
Norethindrone
Diaphragm
Nonxynol 9
</t>
    </r>
    <r>
      <rPr>
        <u/>
        <sz val="10"/>
        <rFont val="Arial"/>
        <family val="2"/>
      </rPr>
      <t xml:space="preserve">Sexually Active (462 Codes)
Pregnancy (2,175 Codes)
Pregnancy Tests
</t>
    </r>
    <r>
      <rPr>
        <sz val="10"/>
        <rFont val="Arial"/>
        <family val="2"/>
      </rPr>
      <t>81025, 84702, 84703</t>
    </r>
  </si>
  <si>
    <r>
      <rPr>
        <u/>
        <sz val="10"/>
        <rFont val="Arial"/>
        <family val="2"/>
      </rPr>
      <t>GC Chlamydia by Urine or Path Report from Pap, completed in 2018</t>
    </r>
    <r>
      <rPr>
        <sz val="10"/>
        <rFont val="Arial"/>
        <family val="2"/>
      </rPr>
      <t xml:space="preserve">
87110, 87270, 87320, 87490, 87491, 87492, 87810</t>
    </r>
  </si>
  <si>
    <t>81528
G0464 - Stool-based DNA -fecal occult hemoglobin</t>
  </si>
  <si>
    <t>17 CPT Codes
G0104 - Flexible sigmoidoscopy</t>
  </si>
  <si>
    <t>34 CPT Codes
G0105 - Colonoscopy on individual at high risk
G0121 - Colonoscopy on individual not high risk</t>
  </si>
  <si>
    <r>
      <rPr>
        <u/>
        <sz val="10"/>
        <rFont val="Arial"/>
        <family val="2"/>
      </rPr>
      <t>Colorectal Cancer</t>
    </r>
    <r>
      <rPr>
        <sz val="10"/>
        <rFont val="Arial"/>
        <family val="2"/>
      </rPr>
      <t xml:space="preserve">
G0213, G0214, G0215, G0231
C18.0 - C18.9, C19, C20, C21.2, C21.8, C78.5, Z85.038, Z85.048
</t>
    </r>
    <r>
      <rPr>
        <u/>
        <sz val="10"/>
        <rFont val="Arial"/>
        <family val="2"/>
      </rPr>
      <t>Total Colectomy</t>
    </r>
    <r>
      <rPr>
        <sz val="10"/>
        <rFont val="Arial"/>
        <family val="2"/>
      </rPr>
      <t xml:space="preserve">
44150, 44151, 44152, 44153, 44155, 44156, 44157, 44158
44210, 44211, 44212
</t>
    </r>
    <r>
      <rPr>
        <u/>
        <sz val="10"/>
        <rFont val="Arial"/>
        <family val="2"/>
      </rPr>
      <t>Hospice</t>
    </r>
  </si>
  <si>
    <t>Reported for paitents ages 51-75</t>
  </si>
  <si>
    <t>82270, 82274
G0328 - fecal occult blood test, immunoassay, 1-3 simultaneous</t>
  </si>
  <si>
    <t>Age 24-64: 2 or more PAPs for asymptomatic women in 3 years (if 24 yrs, more than 1 since age 21)
Women aged 30-64: With two or more cervical cancer screenings with an HPV test in 5 years
(See above for codes)</t>
  </si>
  <si>
    <r>
      <t xml:space="preserve">Pap Smear co-tested for HPV in 2014, 2015, 2016, 2017 or 2018 with above codes if within 4 days
</t>
    </r>
    <r>
      <rPr>
        <sz val="10"/>
        <rFont val="Arial"/>
        <family val="2"/>
      </rPr>
      <t>87620, 87621, 87622, 87623, 87624, 87625
G0476</t>
    </r>
  </si>
  <si>
    <r>
      <rPr>
        <i/>
        <sz val="10"/>
        <rFont val="Arial"/>
        <family val="2"/>
      </rPr>
      <t>General Exclusions:</t>
    </r>
    <r>
      <rPr>
        <sz val="10"/>
        <rFont val="Arial"/>
        <family val="2"/>
      </rPr>
      <t xml:space="preserve">
</t>
    </r>
    <r>
      <rPr>
        <u/>
        <sz val="10"/>
        <rFont val="Arial"/>
        <family val="2"/>
      </rPr>
      <t>Absence of Cervix at anytime during the patient's life</t>
    </r>
    <r>
      <rPr>
        <sz val="10"/>
        <rFont val="Arial"/>
        <family val="2"/>
      </rPr>
      <t xml:space="preserve">
51925, 56308
57540, 57545, 57550, 57555, 575556
58150, 58152, 58200, 58210, 58240
58260, 58262, 58263, 58267
58270, 58275, 58280, 58285
58290, 58291, 58292, 58293, 58294
58548, 58550, 58552, 58553, 58554
58570, 58571, 58572, 58573
58951, 58953, 58954, 58956, 59135
Q51.5, Z90.710, Z90.712
</t>
    </r>
    <r>
      <rPr>
        <u/>
        <sz val="10"/>
        <rFont val="Arial"/>
        <family val="2"/>
      </rPr>
      <t>Hospice</t>
    </r>
    <r>
      <rPr>
        <sz val="10"/>
        <rFont val="Arial"/>
        <family val="2"/>
      </rPr>
      <t xml:space="preserve">
</t>
    </r>
    <r>
      <rPr>
        <i/>
        <sz val="10"/>
        <rFont val="Arial"/>
        <family val="2"/>
      </rPr>
      <t xml:space="preserve">Over-screening Exclusions: </t>
    </r>
    <r>
      <rPr>
        <sz val="10"/>
        <rFont val="Arial"/>
        <family val="2"/>
      </rPr>
      <t xml:space="preserve">86 codes exist
</t>
    </r>
    <r>
      <rPr>
        <u/>
        <sz val="10"/>
        <rFont val="Arial"/>
        <family val="2"/>
      </rPr>
      <t>At anytime during the patient's life (Group 2)</t>
    </r>
    <r>
      <rPr>
        <sz val="10"/>
        <rFont val="Arial"/>
        <family val="2"/>
      </rPr>
      <t xml:space="preserve">
DES exposure
Cervical Cancer
Immunodeficiency
HIV
</t>
    </r>
    <r>
      <rPr>
        <u/>
        <sz val="10"/>
        <rFont val="Arial"/>
        <family val="2"/>
      </rPr>
      <t>Withing the past 5 years: (Group 1)</t>
    </r>
    <r>
      <rPr>
        <sz val="10"/>
        <rFont val="Arial"/>
        <family val="2"/>
      </rPr>
      <t xml:space="preserve">
Dysplasia
Nonspecific Abnormal Pap
HPV</t>
    </r>
  </si>
  <si>
    <t>Reported for women ages 24-64</t>
  </si>
  <si>
    <r>
      <rPr>
        <u/>
        <sz val="10"/>
        <rFont val="Arial"/>
        <family val="2"/>
      </rPr>
      <t xml:space="preserve">Pap Smear completed in 2016, 2017 or 2018
</t>
    </r>
    <r>
      <rPr>
        <sz val="10"/>
        <rFont val="Arial"/>
        <family val="2"/>
      </rPr>
      <t>88141, 88142, 88143, 88147, 88148
88150, 88152, 88153, 88154
88164, 88165, 88166, 88167
88174, 88175
G0123, G0124
G0141, G0143, G0144, G0145, G0147, G0148
P3000, P3001, Q0091</t>
    </r>
  </si>
  <si>
    <r>
      <rPr>
        <u/>
        <sz val="10"/>
        <color theme="1"/>
        <rFont val="Arial"/>
        <family val="2"/>
      </rPr>
      <t xml:space="preserve">Bilateral Mastectomy
</t>
    </r>
    <r>
      <rPr>
        <sz val="10"/>
        <color theme="1"/>
        <rFont val="Arial"/>
        <family val="2"/>
      </rPr>
      <t xml:space="preserve">Z90.13
</t>
    </r>
    <r>
      <rPr>
        <u/>
        <sz val="10"/>
        <color theme="1"/>
        <rFont val="Arial"/>
        <family val="2"/>
      </rPr>
      <t xml:space="preserve">Two Unilateral Mastectomies with a specific modifier on the same claim or
</t>
    </r>
    <r>
      <rPr>
        <b/>
        <u/>
        <sz val="10"/>
        <color theme="1"/>
        <rFont val="Arial"/>
        <family val="2"/>
      </rPr>
      <t>at least 14 days apart</t>
    </r>
    <r>
      <rPr>
        <u/>
        <sz val="10"/>
        <color theme="1"/>
        <rFont val="Arial"/>
        <family val="2"/>
      </rPr>
      <t xml:space="preserve">
</t>
    </r>
    <r>
      <rPr>
        <sz val="10"/>
        <color theme="1"/>
        <rFont val="Arial"/>
        <family val="2"/>
      </rPr>
      <t xml:space="preserve">19303, 19304, 19305, 19306, 19307
Modifies for above codes - 50, LT, RT
--OR--
Z90.11 Acquired absence of right breast and nipple
Z90.12 Acquired absence of left breast and nipple
Any combination of codes that indicate a mastectomy on both the left and right side on the same or different dates of service.
</t>
    </r>
    <r>
      <rPr>
        <u/>
        <sz val="10"/>
        <color theme="1"/>
        <rFont val="Arial"/>
        <family val="2"/>
      </rPr>
      <t>Hospice</t>
    </r>
  </si>
  <si>
    <t>Reported for women ages 52-74 by 12/31/2018</t>
  </si>
  <si>
    <r>
      <rPr>
        <u/>
        <sz val="10"/>
        <rFont val="Arial"/>
        <family val="2"/>
      </rPr>
      <t xml:space="preserve">Screening Mammogram, completed in 2017 or 2018
</t>
    </r>
    <r>
      <rPr>
        <sz val="10"/>
        <rFont val="Arial"/>
        <family val="2"/>
      </rPr>
      <t>77055, 77056, 77057
G0202, G0204, G0206</t>
    </r>
  </si>
  <si>
    <r>
      <rPr>
        <u/>
        <sz val="10"/>
        <rFont val="Arial"/>
        <family val="2"/>
      </rPr>
      <t>Pregnancy</t>
    </r>
    <r>
      <rPr>
        <sz val="10"/>
        <rFont val="Arial"/>
        <family val="2"/>
      </rPr>
      <t xml:space="preserve"> - 2,175 codes exist
</t>
    </r>
    <r>
      <rPr>
        <u/>
        <sz val="10"/>
        <rFont val="Arial"/>
        <family val="2"/>
      </rPr>
      <t xml:space="preserve">Hospice
</t>
    </r>
    <r>
      <rPr>
        <sz val="10"/>
        <rFont val="Arial"/>
        <family val="2"/>
      </rPr>
      <t>99377, 99378
G0182, G9473, G9474, G9475, G9476, G9477, G9478, G9479
Q5003, Q5004, Q5006, Q5007, Q5008, Q5009, Q5010
S9126, T2042, T2043, T2044, T2045, T2046</t>
    </r>
  </si>
  <si>
    <r>
      <rPr>
        <u/>
        <sz val="10"/>
        <rFont val="Arial"/>
        <family val="2"/>
      </rPr>
      <t>Outpatient office visit in 2017 or 2018</t>
    </r>
    <r>
      <rPr>
        <sz val="10"/>
        <rFont val="Arial"/>
        <family val="2"/>
      </rPr>
      <t xml:space="preserve">
99201, 99202, 99203, 99204, 99205
99211, 99212, 99213, 99214, 99215
99241, 99242, 99243, 99244, 99245
99341, 99342, 99343, 99344, 99345
99347, 99348, 99349, 99350
99381, 99382, 99383, 99384, 99385
99386, 99387
99391, 99392, 99393, 99394, 99395
99396, 99397
99401, 99402, 99403, 99404
99411, 99412, 99420, 99429
99455, 99456
G0402, G0438, G0439, G0463, T1015</t>
    </r>
  </si>
  <si>
    <r>
      <rPr>
        <u/>
        <sz val="10"/>
        <rFont val="Arial"/>
        <family val="2"/>
      </rPr>
      <t>Ages 18-19</t>
    </r>
    <r>
      <rPr>
        <sz val="10"/>
        <rFont val="Arial"/>
        <family val="2"/>
      </rPr>
      <t xml:space="preserve">
Z68.51 BMI pediatric less than 5th percentile
Z68.52 BMI pediatric 5th -  less than 85th percentile
Z68.53 BMI pediatric 85th - less than 95th percentile
Z68.54 BMI pediatric greater than or equal to the 95th percentile
</t>
    </r>
    <r>
      <rPr>
        <u/>
        <sz val="10"/>
        <rFont val="Arial"/>
        <family val="2"/>
      </rPr>
      <t>Ages 20 - 74</t>
    </r>
    <r>
      <rPr>
        <sz val="10"/>
        <rFont val="Arial"/>
        <family val="2"/>
      </rPr>
      <t xml:space="preserve">
Z68.1 BMI 19 or less    Z68.20 BMI 20.0-20.9
Z68.22 BMI 22.0-22.9  Z68.23 BMI 23.0-23.9
Z68.24 BMI 24.0-24.9  Z68.25 BMI 25.0-25.9
Z68.26 BMI 26.0-26.9  Z68.27 BMI 27.0-27.9
Z68.28 BMI 28.0-28.9  Z68.29 BMI 29.0-29.9
Z68.30 BMI 30.0-30.9  Z68.31 BMI 31.0-31.9
Z68.32 BMI 32.0-32.9  Z68.33 BMI 33.0-33.9
Z68.34 BMI 34.0-34.9  Z68.35 BMI 35.0-35.9
Z68.36 BMI 36.0-36.9  Z68.37 BMI 37.0-37.9
Z68.38 BMI 38.0-38.9  Z68.39 BMI 39.0-39.9
Z68.41 BMI 40.0-44.9  Z68.42 BMI 45.0-49.9
Z68.43 BMI 50.0-59.9  Z68.44 BMI 60.0-69.9
Z68.45 BMI 70 or greater</t>
    </r>
  </si>
  <si>
    <t>Denominator Codes</t>
  </si>
  <si>
    <t>Numerator 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</si>
</sst>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99]###\-####;\(###\)\ ###\-####"/>
  </numFmts>
  <fonts count="25" x14ac:knownFonts="1">
    <font>
      <sz val="11"/>
      <color theme="1"/>
      <name val="Calibri"/>
      <family val="2"/>
      <scheme val="minor"/>
    </font>
    <font>
      <sz val="9"/>
      <color rgb="FF000000"/>
      <name val="Calibri"/>
      <family val="2"/>
      <scheme val="minor"/>
    </font>
    <font>
      <sz val="9"/>
      <name val="Calibri"/>
      <family val="2"/>
      <scheme val="minor"/>
    </font>
    <font>
      <b/>
      <sz val="9"/>
      <color theme="0"/>
      <name val="Calibri"/>
      <family val="2"/>
      <scheme val="minor"/>
    </font>
    <font>
      <sz val="9"/>
      <color theme="1"/>
      <name val="Calibri"/>
      <family val="2"/>
      <scheme val="minor"/>
    </font>
    <font>
      <b/>
      <sz val="9"/>
      <color theme="1"/>
      <name val="Calibri"/>
      <family val="2"/>
      <scheme val="minor"/>
    </font>
    <font>
      <b/>
      <sz val="38"/>
      <color rgb="FF5B5B65"/>
      <name val="Calibri"/>
      <family val="2"/>
      <scheme val="minor"/>
    </font>
    <font>
      <b/>
      <sz val="10"/>
      <color theme="0"/>
      <name val="Calibri"/>
      <family val="2"/>
      <scheme val="minor"/>
    </font>
    <font>
      <sz val="11"/>
      <color theme="0"/>
      <name val="Calibri"/>
      <family val="2"/>
      <scheme val="minor"/>
    </font>
    <font>
      <sz val="26"/>
      <color theme="3" tint="-0.24994659260841701"/>
      <name val="Franklin Gothic Medium"/>
      <family val="2"/>
    </font>
    <font>
      <sz val="11"/>
      <color theme="0"/>
      <name val="Calibri"/>
      <family val="1"/>
      <scheme val="minor"/>
    </font>
    <font>
      <sz val="11"/>
      <color theme="3" tint="-0.24994659260841701"/>
      <name val="Calibri"/>
      <family val="2"/>
      <scheme val="minor"/>
    </font>
    <font>
      <sz val="11"/>
      <color theme="3" tint="-0.24994659260841701"/>
      <name val="Calibri"/>
      <family val="1"/>
      <scheme val="minor"/>
    </font>
    <font>
      <sz val="10"/>
      <color theme="1"/>
      <name val="Arial"/>
      <family val="2"/>
    </font>
    <font>
      <sz val="10"/>
      <name val="Arial"/>
      <family val="2"/>
    </font>
    <font>
      <b/>
      <sz val="10"/>
      <name val="Arial"/>
      <family val="2"/>
    </font>
    <font>
      <b/>
      <sz val="10"/>
      <color theme="0"/>
      <name val="Arial"/>
      <family val="2"/>
    </font>
    <font>
      <sz val="10"/>
      <color rgb="FF00B050"/>
      <name val="Arial"/>
      <family val="2"/>
    </font>
    <font>
      <sz val="10"/>
      <color indexed="36"/>
      <name val="Arial"/>
      <family val="2"/>
    </font>
    <font>
      <sz val="10"/>
      <color indexed="8"/>
      <name val="Arial"/>
      <family val="2"/>
    </font>
    <font>
      <i/>
      <sz val="10"/>
      <color indexed="8"/>
      <name val="Arial"/>
      <family val="2"/>
    </font>
    <font>
      <u/>
      <sz val="10"/>
      <name val="Arial"/>
      <family val="2"/>
    </font>
    <font>
      <i/>
      <sz val="10"/>
      <name val="Arial"/>
      <family val="2"/>
    </font>
    <font>
      <u/>
      <sz val="10"/>
      <color theme="1"/>
      <name val="Arial"/>
      <family val="2"/>
    </font>
    <font>
      <b/>
      <u/>
      <sz val="10"/>
      <color theme="1"/>
      <name val="Arial"/>
      <family val="2"/>
    </font>
  </fonts>
  <fills count="15">
    <fill>
      <patternFill patternType="none"/>
    </fill>
    <fill>
      <patternFill patternType="gray125"/>
    </fill>
    <fill>
      <patternFill patternType="solid">
        <fgColor theme="9"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rgb="FF17AEA7"/>
        <bgColor indexed="64"/>
      </patternFill>
    </fill>
    <fill>
      <patternFill patternType="solid">
        <fgColor rgb="FF33CCCC"/>
        <bgColor indexed="64"/>
      </patternFill>
    </fill>
    <fill>
      <patternFill patternType="solid">
        <fgColor theme="4" tint="-0.49998474074526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59">
    <border>
      <left/>
      <right/>
      <top/>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thin">
        <color indexed="64"/>
      </left>
      <right style="thin">
        <color indexed="64"/>
      </right>
      <top style="thin">
        <color auto="1"/>
      </top>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thin">
        <color indexed="64"/>
      </left>
      <right style="thin">
        <color indexed="64"/>
      </right>
      <top style="medium">
        <color indexed="64"/>
      </top>
      <bottom style="medium">
        <color indexed="64"/>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diagonal/>
    </border>
    <border>
      <left style="thin">
        <color indexed="64"/>
      </left>
      <right style="thin">
        <color indexed="64"/>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diagonal/>
    </border>
    <border>
      <left style="thin">
        <color indexed="64"/>
      </left>
      <right style="thin">
        <color indexed="64"/>
      </right>
      <top/>
      <bottom/>
      <diagonal/>
    </border>
    <border>
      <left style="thin">
        <color theme="1" tint="0.34998626667073579"/>
      </left>
      <right/>
      <top/>
      <bottom/>
      <diagonal/>
    </border>
    <border>
      <left style="thin">
        <color theme="1" tint="0.34998626667073579"/>
      </left>
      <right style="thin">
        <color theme="1" tint="0.34998626667073579"/>
      </right>
      <top/>
      <bottom style="thin">
        <color theme="1" tint="0.34998626667073579"/>
      </bottom>
      <diagonal/>
    </border>
    <border>
      <left style="thin">
        <color indexed="64"/>
      </left>
      <right style="medium">
        <color indexed="64"/>
      </right>
      <top/>
      <bottom/>
      <diagonal/>
    </border>
    <border>
      <left style="medium">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medium">
        <color indexed="64"/>
      </top>
      <bottom/>
      <diagonal/>
    </border>
    <border>
      <left style="thin">
        <color indexed="64"/>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style="thin">
        <color rgb="FFBFBFBF"/>
      </left>
      <right style="thin">
        <color rgb="FFBFBFBF"/>
      </right>
      <top/>
      <bottom/>
      <diagonal/>
    </border>
  </borders>
  <cellStyleXfs count="4">
    <xf numFmtId="0" fontId="0" fillId="0" borderId="0"/>
    <xf numFmtId="0" fontId="11" fillId="0" borderId="0" applyNumberFormat="0" applyFill="0" applyBorder="0" applyAlignment="0" applyProtection="0"/>
    <xf numFmtId="164" fontId="11" fillId="0" borderId="0" applyFont="0" applyFill="0" applyBorder="0" applyAlignment="0">
      <alignment horizontal="left" vertical="center" wrapText="1" indent="1"/>
    </xf>
    <xf numFmtId="0" fontId="11" fillId="0" borderId="0">
      <alignment horizontal="left" vertical="center" wrapText="1" indent="1"/>
    </xf>
  </cellStyleXfs>
  <cellXfs count="289">
    <xf numFmtId="0" fontId="0" fillId="0" borderId="0" xfId="0"/>
    <xf numFmtId="0" fontId="4" fillId="0" borderId="0" xfId="0" applyFont="1" applyAlignment="1">
      <alignment vertical="center"/>
    </xf>
    <xf numFmtId="0" fontId="4" fillId="0" borderId="0" xfId="0" applyFont="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left" vertical="center"/>
    </xf>
    <xf numFmtId="0" fontId="1" fillId="0" borderId="1" xfId="0" applyFont="1" applyBorder="1" applyAlignment="1">
      <alignment horizontal="left" vertical="center"/>
    </xf>
    <xf numFmtId="0" fontId="4" fillId="0" borderId="10" xfId="0" applyFont="1" applyBorder="1" applyAlignment="1">
      <alignment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16" xfId="0" applyFont="1" applyFill="1" applyBorder="1" applyAlignment="1">
      <alignment horizontal="center" vertical="center"/>
    </xf>
    <xf numFmtId="0" fontId="2" fillId="2" borderId="6" xfId="0" applyFont="1" applyFill="1" applyBorder="1" applyAlignment="1">
      <alignment horizontal="center" vertical="center"/>
    </xf>
    <xf numFmtId="0" fontId="1" fillId="4" borderId="7" xfId="0" applyFont="1" applyFill="1" applyBorder="1" applyAlignment="1">
      <alignment horizontal="left" vertical="center"/>
    </xf>
    <xf numFmtId="0" fontId="1" fillId="2" borderId="2" xfId="0" applyFont="1" applyFill="1" applyBorder="1" applyAlignment="1">
      <alignment horizontal="left" vertical="center"/>
    </xf>
    <xf numFmtId="0" fontId="1" fillId="0" borderId="17" xfId="0" applyFont="1" applyBorder="1" applyAlignment="1">
      <alignment horizontal="left" vertical="center"/>
    </xf>
    <xf numFmtId="0" fontId="1" fillId="0" borderId="3" xfId="0" applyFont="1" applyBorder="1" applyAlignment="1">
      <alignment horizontal="left" vertical="center"/>
    </xf>
    <xf numFmtId="14" fontId="2" fillId="2" borderId="8" xfId="0" applyNumberFormat="1" applyFont="1" applyFill="1" applyBorder="1" applyAlignment="1">
      <alignment horizontal="left" vertical="center"/>
    </xf>
    <xf numFmtId="14" fontId="2" fillId="0" borderId="10" xfId="0" applyNumberFormat="1" applyFont="1" applyBorder="1" applyAlignment="1">
      <alignment horizontal="left" vertical="center"/>
    </xf>
    <xf numFmtId="14" fontId="2" fillId="0" borderId="4" xfId="0" applyNumberFormat="1" applyFont="1" applyBorder="1" applyAlignment="1">
      <alignment horizontal="left" vertical="center"/>
    </xf>
    <xf numFmtId="0" fontId="1" fillId="2" borderId="8" xfId="0" applyFont="1" applyFill="1" applyBorder="1" applyAlignment="1">
      <alignment horizontal="left" vertical="center"/>
    </xf>
    <xf numFmtId="0" fontId="1" fillId="0" borderId="10" xfId="0" applyFont="1" applyBorder="1" applyAlignment="1">
      <alignment horizontal="left" vertical="center"/>
    </xf>
    <xf numFmtId="0" fontId="1" fillId="0" borderId="4" xfId="0" applyFont="1" applyBorder="1" applyAlignment="1">
      <alignment horizontal="left" vertical="center"/>
    </xf>
    <xf numFmtId="0" fontId="2" fillId="2" borderId="2" xfId="0" applyFont="1" applyFill="1" applyBorder="1" applyAlignment="1">
      <alignment horizontal="center" vertical="center"/>
    </xf>
    <xf numFmtId="14" fontId="2" fillId="4" borderId="3" xfId="0" applyNumberFormat="1" applyFont="1" applyFill="1" applyBorder="1" applyAlignment="1">
      <alignment horizontal="left" vertical="center"/>
    </xf>
    <xf numFmtId="0" fontId="2" fillId="2" borderId="8" xfId="0" applyFont="1" applyFill="1" applyBorder="1" applyAlignment="1">
      <alignment horizontal="center" vertical="center"/>
    </xf>
    <xf numFmtId="0" fontId="1" fillId="4" borderId="4" xfId="0" applyFont="1" applyFill="1" applyBorder="1" applyAlignment="1">
      <alignment horizontal="left" vertical="center"/>
    </xf>
    <xf numFmtId="0" fontId="1" fillId="2" borderId="9" xfId="0" applyFont="1" applyFill="1" applyBorder="1" applyAlignment="1">
      <alignment horizontal="left" vertical="center"/>
    </xf>
    <xf numFmtId="0" fontId="1" fillId="0" borderId="18" xfId="0" applyFont="1" applyBorder="1" applyAlignment="1">
      <alignment horizontal="left" vertical="center"/>
    </xf>
    <xf numFmtId="0" fontId="1" fillId="0" borderId="5" xfId="0" applyFont="1" applyBorder="1" applyAlignment="1">
      <alignment horizontal="left" vertical="center"/>
    </xf>
    <xf numFmtId="14" fontId="2" fillId="0" borderId="18" xfId="0" applyNumberFormat="1" applyFont="1" applyBorder="1" applyAlignment="1">
      <alignment horizontal="left" vertical="center"/>
    </xf>
    <xf numFmtId="14" fontId="2" fillId="0" borderId="5" xfId="0" applyNumberFormat="1" applyFont="1" applyBorder="1" applyAlignment="1">
      <alignment horizontal="left" vertical="center"/>
    </xf>
    <xf numFmtId="14" fontId="2" fillId="2" borderId="9" xfId="0" applyNumberFormat="1" applyFont="1" applyFill="1" applyBorder="1" applyAlignment="1">
      <alignment horizontal="left" vertical="center"/>
    </xf>
    <xf numFmtId="0" fontId="2" fillId="2" borderId="9" xfId="0" applyFont="1" applyFill="1" applyBorder="1" applyAlignment="1">
      <alignment horizontal="center" vertical="center"/>
    </xf>
    <xf numFmtId="14" fontId="2" fillId="0" borderId="17" xfId="0" applyNumberFormat="1" applyFont="1" applyBorder="1" applyAlignment="1">
      <alignment horizontal="left" vertical="center"/>
    </xf>
    <xf numFmtId="14" fontId="2" fillId="0" borderId="3" xfId="0" applyNumberFormat="1" applyFont="1" applyBorder="1" applyAlignment="1">
      <alignment horizontal="left" vertical="center"/>
    </xf>
    <xf numFmtId="0" fontId="1" fillId="2" borderId="6" xfId="0" applyFont="1" applyFill="1" applyBorder="1" applyAlignment="1">
      <alignment horizontal="left" vertical="center"/>
    </xf>
    <xf numFmtId="0" fontId="1" fillId="0" borderId="16" xfId="0" applyFont="1" applyBorder="1" applyAlignment="1">
      <alignment horizontal="left" vertical="center"/>
    </xf>
    <xf numFmtId="0" fontId="1" fillId="0" borderId="7" xfId="0" applyFont="1" applyBorder="1" applyAlignment="1">
      <alignment horizontal="left" vertical="center"/>
    </xf>
    <xf numFmtId="0" fontId="1" fillId="2" borderId="11" xfId="0" applyFont="1" applyFill="1" applyBorder="1" applyAlignment="1">
      <alignment horizontal="left" vertical="center"/>
    </xf>
    <xf numFmtId="14" fontId="2" fillId="0" borderId="13" xfId="0" applyNumberFormat="1" applyFont="1" applyBorder="1" applyAlignment="1">
      <alignment horizontal="left" vertical="center"/>
    </xf>
    <xf numFmtId="14" fontId="2" fillId="0" borderId="12" xfId="0" applyNumberFormat="1" applyFont="1" applyBorder="1" applyAlignment="1">
      <alignment horizontal="left" vertical="center"/>
    </xf>
    <xf numFmtId="0" fontId="1" fillId="2" borderId="14" xfId="0" applyFont="1" applyFill="1" applyBorder="1" applyAlignment="1">
      <alignment horizontal="left" vertical="center"/>
    </xf>
    <xf numFmtId="0" fontId="1" fillId="0" borderId="15" xfId="0" applyFont="1" applyBorder="1" applyAlignment="1">
      <alignment horizontal="left"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14" fontId="2" fillId="2" borderId="2" xfId="0" applyNumberFormat="1" applyFont="1" applyFill="1" applyBorder="1" applyAlignment="1">
      <alignment horizontal="left" vertical="center"/>
    </xf>
    <xf numFmtId="14" fontId="2" fillId="2" borderId="11" xfId="0" applyNumberFormat="1" applyFont="1" applyFill="1" applyBorder="1" applyAlignment="1">
      <alignment horizontal="left" vertical="center"/>
    </xf>
    <xf numFmtId="0" fontId="1" fillId="2" borderId="19" xfId="0" applyFont="1" applyFill="1" applyBorder="1" applyAlignment="1">
      <alignment horizontal="left" vertical="center"/>
    </xf>
    <xf numFmtId="0" fontId="1" fillId="0" borderId="20" xfId="0" applyFont="1" applyBorder="1" applyAlignment="1">
      <alignment horizontal="left" vertical="center"/>
    </xf>
    <xf numFmtId="0" fontId="1" fillId="0" borderId="21" xfId="0" applyFont="1" applyBorder="1" applyAlignment="1">
      <alignment horizontal="left" vertical="center"/>
    </xf>
    <xf numFmtId="14" fontId="2" fillId="0" borderId="1" xfId="0" applyNumberFormat="1" applyFont="1" applyBorder="1" applyAlignment="1">
      <alignment horizontal="left" vertical="center"/>
    </xf>
    <xf numFmtId="14" fontId="2" fillId="0" borderId="15" xfId="0" applyNumberFormat="1" applyFont="1" applyBorder="1" applyAlignment="1">
      <alignment horizontal="left" vertical="center"/>
    </xf>
    <xf numFmtId="0" fontId="3" fillId="3" borderId="19" xfId="0" applyFont="1" applyFill="1" applyBorder="1" applyAlignment="1">
      <alignment horizontal="center" vertical="center"/>
    </xf>
    <xf numFmtId="0" fontId="3" fillId="3" borderId="20" xfId="0" applyFont="1" applyFill="1" applyBorder="1" applyAlignment="1">
      <alignment horizontal="center" vertical="center"/>
    </xf>
    <xf numFmtId="0" fontId="3" fillId="3" borderId="21" xfId="0" applyFont="1" applyFill="1" applyBorder="1" applyAlignment="1">
      <alignment horizontal="center" vertical="center"/>
    </xf>
    <xf numFmtId="0" fontId="5" fillId="0" borderId="0" xfId="0" applyFont="1" applyAlignment="1">
      <alignment horizontal="center"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4" xfId="0" applyFont="1" applyBorder="1" applyAlignment="1">
      <alignment horizontal="left" vertical="center"/>
    </xf>
    <xf numFmtId="0" fontId="4" fillId="0" borderId="5" xfId="0" applyFont="1" applyBorder="1" applyAlignment="1">
      <alignment horizontal="left" vertical="center"/>
    </xf>
    <xf numFmtId="0" fontId="4" fillId="0" borderId="18" xfId="0" applyFont="1" applyBorder="1" applyAlignment="1">
      <alignment vertical="center"/>
    </xf>
    <xf numFmtId="0" fontId="4" fillId="0" borderId="5" xfId="0" applyFont="1" applyBorder="1" applyAlignment="1">
      <alignment vertical="center"/>
    </xf>
    <xf numFmtId="0" fontId="4" fillId="0" borderId="17" xfId="0" applyFont="1" applyBorder="1" applyAlignment="1">
      <alignment vertical="center"/>
    </xf>
    <xf numFmtId="0" fontId="4" fillId="0" borderId="13" xfId="0" applyFont="1" applyBorder="1" applyAlignment="1">
      <alignment vertical="center"/>
    </xf>
    <xf numFmtId="0" fontId="4" fillId="0" borderId="12" xfId="0" applyFont="1" applyBorder="1" applyAlignment="1">
      <alignment vertical="center"/>
    </xf>
    <xf numFmtId="0" fontId="1" fillId="0" borderId="4" xfId="0" applyFont="1" applyBorder="1" applyAlignment="1">
      <alignment horizontal="center" vertical="center"/>
    </xf>
    <xf numFmtId="0" fontId="5" fillId="0" borderId="0" xfId="0" applyFont="1" applyAlignment="1">
      <alignment horizontal="center" wrapText="1"/>
    </xf>
    <xf numFmtId="0" fontId="2" fillId="2" borderId="19" xfId="0" applyFont="1" applyFill="1" applyBorder="1" applyAlignment="1">
      <alignment horizontal="center" vertical="center"/>
    </xf>
    <xf numFmtId="0" fontId="4" fillId="0" borderId="21" xfId="0" applyFont="1" applyBorder="1" applyAlignment="1">
      <alignment horizontal="left" vertical="center"/>
    </xf>
    <xf numFmtId="0" fontId="2" fillId="2" borderId="11" xfId="0" applyFont="1" applyFill="1" applyBorder="1" applyAlignment="1">
      <alignment horizontal="center" vertical="center"/>
    </xf>
    <xf numFmtId="0" fontId="4" fillId="0" borderId="12" xfId="0" applyFont="1" applyBorder="1" applyAlignment="1">
      <alignment horizontal="left" vertical="center"/>
    </xf>
    <xf numFmtId="0" fontId="1" fillId="4" borderId="3" xfId="0" applyFont="1" applyFill="1" applyBorder="1" applyAlignment="1">
      <alignment horizontal="left" vertical="center"/>
    </xf>
    <xf numFmtId="0" fontId="4" fillId="0" borderId="0" xfId="0" applyFont="1" applyAlignment="1">
      <alignment vertical="center" wrapText="1"/>
    </xf>
    <xf numFmtId="0" fontId="1" fillId="2" borderId="22" xfId="0" applyFont="1" applyFill="1" applyBorder="1" applyAlignment="1">
      <alignment horizontal="left" vertical="center"/>
    </xf>
    <xf numFmtId="0" fontId="4" fillId="0" borderId="23" xfId="0" applyFont="1" applyBorder="1" applyAlignment="1">
      <alignment vertical="center"/>
    </xf>
    <xf numFmtId="0" fontId="4" fillId="0" borderId="24" xfId="0" applyFont="1" applyBorder="1" applyAlignment="1">
      <alignment vertical="center"/>
    </xf>
    <xf numFmtId="0" fontId="4" fillId="0" borderId="16" xfId="0" applyFont="1" applyBorder="1" applyAlignment="1">
      <alignment vertical="center"/>
    </xf>
    <xf numFmtId="0" fontId="4" fillId="0" borderId="7" xfId="0" applyFont="1" applyBorder="1" applyAlignment="1">
      <alignment vertical="center"/>
    </xf>
    <xf numFmtId="0" fontId="4" fillId="0" borderId="0" xfId="0" applyFont="1" applyAlignment="1">
      <alignment horizontal="center" vertical="center" wrapText="1"/>
    </xf>
    <xf numFmtId="14" fontId="4" fillId="0" borderId="25" xfId="0" applyNumberFormat="1" applyFont="1" applyBorder="1" applyAlignment="1">
      <alignment horizontal="center" vertical="center"/>
    </xf>
    <xf numFmtId="0" fontId="4" fillId="0" borderId="25" xfId="0" applyFont="1" applyBorder="1" applyAlignment="1">
      <alignment horizontal="center" vertical="center"/>
    </xf>
    <xf numFmtId="14" fontId="4" fillId="0" borderId="26" xfId="0" applyNumberFormat="1" applyFont="1" applyBorder="1" applyAlignment="1">
      <alignment horizontal="center" vertical="center"/>
    </xf>
    <xf numFmtId="0" fontId="4" fillId="0" borderId="26" xfId="0" applyFont="1" applyBorder="1" applyAlignment="1">
      <alignment horizontal="center" vertical="center"/>
    </xf>
    <xf numFmtId="0" fontId="7" fillId="5" borderId="13" xfId="0" applyFont="1" applyFill="1" applyBorder="1" applyAlignment="1">
      <alignment horizontal="center" wrapText="1"/>
    </xf>
    <xf numFmtId="14" fontId="7" fillId="5" borderId="13" xfId="0" applyNumberFormat="1" applyFont="1" applyFill="1" applyBorder="1" applyAlignment="1">
      <alignment horizontal="center" wrapText="1"/>
    </xf>
    <xf numFmtId="14" fontId="4" fillId="0" borderId="0" xfId="0" applyNumberFormat="1" applyFont="1" applyAlignment="1">
      <alignment horizontal="center" vertical="center" wrapText="1"/>
    </xf>
    <xf numFmtId="0" fontId="2" fillId="0" borderId="0" xfId="0" applyFont="1" applyAlignment="1">
      <alignment horizontal="center" vertical="center"/>
    </xf>
    <xf numFmtId="0" fontId="2" fillId="0" borderId="0" xfId="0" applyFont="1" applyAlignment="1">
      <alignment horizontal="left" vertical="center"/>
    </xf>
    <xf numFmtId="14" fontId="2" fillId="0" borderId="0" xfId="0" applyNumberFormat="1" applyFont="1" applyAlignment="1">
      <alignment horizontal="center" vertical="center"/>
    </xf>
    <xf numFmtId="0" fontId="1" fillId="0" borderId="0" xfId="0" applyFont="1" applyAlignment="1">
      <alignment horizontal="left" vertical="center"/>
    </xf>
    <xf numFmtId="14" fontId="1" fillId="0" borderId="0" xfId="0" applyNumberFormat="1"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wrapText="1"/>
    </xf>
    <xf numFmtId="14" fontId="2" fillId="0" borderId="0" xfId="0" applyNumberFormat="1" applyFont="1" applyAlignment="1">
      <alignment horizontal="left" vertical="center"/>
    </xf>
    <xf numFmtId="0" fontId="4" fillId="6" borderId="0" xfId="0" applyFont="1" applyFill="1" applyAlignment="1">
      <alignment horizontal="center" vertical="center"/>
    </xf>
    <xf numFmtId="0" fontId="6" fillId="6" borderId="0" xfId="0" applyFont="1" applyFill="1" applyAlignment="1">
      <alignment horizontal="left" vertical="center"/>
    </xf>
    <xf numFmtId="14" fontId="4" fillId="6" borderId="0" xfId="0" applyNumberFormat="1" applyFont="1" applyFill="1" applyAlignment="1">
      <alignment horizontal="center" vertical="center"/>
    </xf>
    <xf numFmtId="0" fontId="4" fillId="6" borderId="0" xfId="0" applyFont="1" applyFill="1" applyAlignment="1">
      <alignment horizontal="left" vertical="center"/>
    </xf>
    <xf numFmtId="0" fontId="4" fillId="6" borderId="0" xfId="0" applyFont="1" applyFill="1" applyAlignment="1">
      <alignment horizontal="center" vertical="center" wrapText="1"/>
    </xf>
    <xf numFmtId="0" fontId="4" fillId="6" borderId="0" xfId="0" applyFont="1" applyFill="1" applyAlignment="1">
      <alignment vertical="center" wrapText="1"/>
    </xf>
    <xf numFmtId="0" fontId="2" fillId="0" borderId="25" xfId="0" applyFont="1" applyBorder="1" applyAlignment="1">
      <alignment horizontal="center" vertical="center"/>
    </xf>
    <xf numFmtId="0" fontId="2" fillId="0" borderId="25" xfId="0" applyFont="1" applyBorder="1" applyAlignment="1">
      <alignment horizontal="left" vertical="center"/>
    </xf>
    <xf numFmtId="14" fontId="2" fillId="0" borderId="25" xfId="0" applyNumberFormat="1" applyFont="1" applyBorder="1" applyAlignment="1">
      <alignment horizontal="center" vertical="center"/>
    </xf>
    <xf numFmtId="14" fontId="1" fillId="0" borderId="25" xfId="0" applyNumberFormat="1" applyFont="1" applyBorder="1" applyAlignment="1">
      <alignment horizontal="center" vertical="center"/>
    </xf>
    <xf numFmtId="0" fontId="1" fillId="0" borderId="25" xfId="0" applyFont="1" applyBorder="1" applyAlignment="1">
      <alignment horizontal="center" vertical="center" wrapText="1"/>
    </xf>
    <xf numFmtId="0" fontId="1" fillId="0" borderId="25" xfId="0" applyFont="1" applyBorder="1" applyAlignment="1">
      <alignment vertical="center" wrapText="1"/>
    </xf>
    <xf numFmtId="0" fontId="2" fillId="0" borderId="26" xfId="0" applyFont="1" applyBorder="1" applyAlignment="1">
      <alignment horizontal="center" vertical="center"/>
    </xf>
    <xf numFmtId="0" fontId="2" fillId="0" borderId="26" xfId="0" applyFont="1" applyBorder="1" applyAlignment="1">
      <alignment horizontal="left" vertical="center"/>
    </xf>
    <xf numFmtId="14" fontId="2" fillId="0" borderId="26" xfId="0" applyNumberFormat="1" applyFont="1" applyBorder="1" applyAlignment="1">
      <alignment horizontal="center" vertical="center"/>
    </xf>
    <xf numFmtId="0" fontId="1" fillId="0" borderId="26" xfId="0" applyFont="1" applyBorder="1" applyAlignment="1">
      <alignment horizontal="left" vertical="center"/>
    </xf>
    <xf numFmtId="14" fontId="1" fillId="0" borderId="26" xfId="0" applyNumberFormat="1" applyFont="1" applyBorder="1" applyAlignment="1">
      <alignment horizontal="center" vertical="center"/>
    </xf>
    <xf numFmtId="0" fontId="1" fillId="0" borderId="26" xfId="0" applyFont="1" applyBorder="1" applyAlignment="1">
      <alignment horizontal="center" vertical="center" wrapText="1"/>
    </xf>
    <xf numFmtId="0" fontId="1" fillId="0" borderId="26" xfId="0" applyFont="1" applyBorder="1" applyAlignment="1">
      <alignment vertical="center" wrapText="1"/>
    </xf>
    <xf numFmtId="14" fontId="2" fillId="0" borderId="26" xfId="0" applyNumberFormat="1" applyFont="1" applyBorder="1" applyAlignment="1">
      <alignment horizontal="left" vertical="center"/>
    </xf>
    <xf numFmtId="14" fontId="1" fillId="0" borderId="26" xfId="0" applyNumberFormat="1" applyFont="1" applyBorder="1" applyAlignment="1">
      <alignment horizontal="center" vertical="center" wrapText="1"/>
    </xf>
    <xf numFmtId="0" fontId="1" fillId="0" borderId="25" xfId="0" applyFont="1" applyBorder="1" applyAlignment="1">
      <alignment horizontal="left" vertical="center"/>
    </xf>
    <xf numFmtId="0" fontId="12" fillId="0" borderId="30" xfId="1" applyFont="1" applyBorder="1" applyAlignment="1">
      <alignment horizontal="left" vertical="center" indent="1"/>
    </xf>
    <xf numFmtId="164" fontId="0" fillId="0" borderId="30" xfId="2" applyFont="1" applyBorder="1">
      <alignment horizontal="left" vertical="center" wrapText="1" indent="1"/>
    </xf>
    <xf numFmtId="0" fontId="0" fillId="0" borderId="30" xfId="1" applyFont="1" applyBorder="1" applyAlignment="1">
      <alignment horizontal="left" vertical="center" indent="1"/>
    </xf>
    <xf numFmtId="164" fontId="0" fillId="0" borderId="31" xfId="2" applyFont="1" applyBorder="1">
      <alignment horizontal="left" vertical="center" wrapText="1" indent="1"/>
    </xf>
    <xf numFmtId="0" fontId="0" fillId="0" borderId="33" xfId="1" applyFont="1" applyFill="1" applyBorder="1" applyAlignment="1">
      <alignment horizontal="left" vertical="center" indent="1"/>
    </xf>
    <xf numFmtId="0" fontId="0" fillId="0" borderId="10" xfId="1" applyFont="1" applyBorder="1" applyAlignment="1">
      <alignment horizontal="left" vertical="center" indent="1"/>
    </xf>
    <xf numFmtId="164" fontId="0" fillId="0" borderId="10" xfId="2" applyFont="1" applyBorder="1">
      <alignment horizontal="left" vertical="center" wrapText="1" indent="1"/>
    </xf>
    <xf numFmtId="0" fontId="11" fillId="0" borderId="0" xfId="3">
      <alignment horizontal="left" vertical="center" wrapText="1" indent="1"/>
    </xf>
    <xf numFmtId="0" fontId="11" fillId="0" borderId="10" xfId="3" applyBorder="1" applyAlignment="1">
      <alignment horizontal="center" vertical="center" wrapText="1"/>
    </xf>
    <xf numFmtId="0" fontId="11" fillId="0" borderId="10" xfId="3" applyBorder="1">
      <alignment horizontal="left" vertical="center" wrapText="1" indent="1"/>
    </xf>
    <xf numFmtId="0" fontId="11" fillId="0" borderId="10" xfId="3" applyBorder="1" applyAlignment="1">
      <alignment horizontal="center" vertical="center"/>
    </xf>
    <xf numFmtId="0" fontId="11" fillId="0" borderId="30" xfId="3" applyBorder="1" applyAlignment="1">
      <alignment horizontal="center" vertical="center" wrapText="1"/>
    </xf>
    <xf numFmtId="0" fontId="11" fillId="0" borderId="30" xfId="3" applyBorder="1" applyAlignment="1">
      <alignment horizontal="center" vertical="center"/>
    </xf>
    <xf numFmtId="0" fontId="11" fillId="0" borderId="34" xfId="3" applyBorder="1" applyAlignment="1">
      <alignment horizontal="center" vertical="center"/>
    </xf>
    <xf numFmtId="0" fontId="11" fillId="0" borderId="1" xfId="3" applyBorder="1">
      <alignment horizontal="left" vertical="center" wrapText="1" indent="1"/>
    </xf>
    <xf numFmtId="0" fontId="11" fillId="0" borderId="31" xfId="3" applyBorder="1" applyAlignment="1">
      <alignment horizontal="center" vertical="center" wrapText="1"/>
    </xf>
    <xf numFmtId="0" fontId="8" fillId="8" borderId="10" xfId="3" applyFont="1" applyFill="1" applyBorder="1" applyAlignment="1">
      <alignment horizontal="center" vertical="center" wrapText="1"/>
    </xf>
    <xf numFmtId="0" fontId="10" fillId="8" borderId="10" xfId="3" applyFont="1" applyFill="1" applyBorder="1" applyAlignment="1">
      <alignment horizontal="center" vertical="center" wrapText="1"/>
    </xf>
    <xf numFmtId="0" fontId="0" fillId="0" borderId="0" xfId="0" applyAlignment="1">
      <alignment wrapText="1"/>
    </xf>
    <xf numFmtId="0" fontId="13" fillId="0" borderId="0" xfId="0" applyFont="1" applyAlignment="1">
      <alignment wrapText="1"/>
    </xf>
    <xf numFmtId="0" fontId="13" fillId="0" borderId="0" xfId="0" applyFont="1"/>
    <xf numFmtId="0" fontId="14" fillId="0" borderId="7" xfId="0" applyFont="1" applyBorder="1" applyAlignment="1">
      <alignment vertical="top" wrapText="1"/>
    </xf>
    <xf numFmtId="0" fontId="14" fillId="0" borderId="16" xfId="0" applyFont="1" applyBorder="1" applyAlignment="1">
      <alignment vertical="top" wrapText="1"/>
    </xf>
    <xf numFmtId="0" fontId="13" fillId="0" borderId="16" xfId="0" applyFont="1" applyBorder="1" applyAlignment="1">
      <alignment vertical="top" wrapText="1"/>
    </xf>
    <xf numFmtId="0" fontId="15" fillId="0" borderId="6" xfId="0" applyFont="1" applyBorder="1" applyAlignment="1">
      <alignment vertical="top" wrapText="1"/>
    </xf>
    <xf numFmtId="0" fontId="14" fillId="0" borderId="21" xfId="0" applyFont="1" applyBorder="1" applyAlignment="1">
      <alignment vertical="top" wrapText="1"/>
    </xf>
    <xf numFmtId="0" fontId="14" fillId="0" borderId="20" xfId="0" applyFont="1" applyBorder="1" applyAlignment="1">
      <alignment vertical="top" wrapText="1"/>
    </xf>
    <xf numFmtId="0" fontId="13" fillId="0" borderId="20" xfId="0" applyFont="1" applyBorder="1" applyAlignment="1">
      <alignment vertical="top" wrapText="1"/>
    </xf>
    <xf numFmtId="0" fontId="15" fillId="0" borderId="19" xfId="0" applyFont="1" applyBorder="1" applyAlignment="1">
      <alignment vertical="top" wrapText="1"/>
    </xf>
    <xf numFmtId="0" fontId="14" fillId="10" borderId="24" xfId="0" applyFont="1" applyFill="1" applyBorder="1" applyAlignment="1">
      <alignment vertical="top" wrapText="1"/>
    </xf>
    <xf numFmtId="0" fontId="13" fillId="10" borderId="23" xfId="0" applyFont="1" applyFill="1" applyBorder="1" applyAlignment="1">
      <alignment vertical="top" wrapText="1"/>
    </xf>
    <xf numFmtId="0" fontId="13" fillId="10" borderId="22" xfId="0" applyFont="1" applyFill="1" applyBorder="1" applyAlignment="1">
      <alignment vertical="top" wrapText="1"/>
    </xf>
    <xf numFmtId="0" fontId="14" fillId="10" borderId="35" xfId="0" applyFont="1" applyFill="1" applyBorder="1" applyAlignment="1">
      <alignment vertical="top" wrapText="1"/>
    </xf>
    <xf numFmtId="0" fontId="13" fillId="10" borderId="32" xfId="0" applyFont="1" applyFill="1" applyBorder="1" applyAlignment="1">
      <alignment vertical="top" wrapText="1"/>
    </xf>
    <xf numFmtId="0" fontId="15" fillId="10" borderId="36" xfId="0" applyFont="1" applyFill="1" applyBorder="1" applyAlignment="1">
      <alignment vertical="top" wrapText="1"/>
    </xf>
    <xf numFmtId="0" fontId="14" fillId="10" borderId="21" xfId="0" applyFont="1" applyFill="1" applyBorder="1" applyAlignment="1">
      <alignment vertical="top" wrapText="1"/>
    </xf>
    <xf numFmtId="0" fontId="14" fillId="10" borderId="20" xfId="0" applyFont="1" applyFill="1" applyBorder="1" applyAlignment="1">
      <alignment vertical="top" wrapText="1"/>
    </xf>
    <xf numFmtId="0" fontId="13" fillId="10" borderId="20" xfId="0" applyFont="1" applyFill="1" applyBorder="1" applyAlignment="1">
      <alignment vertical="top" wrapText="1"/>
    </xf>
    <xf numFmtId="0" fontId="15" fillId="10" borderId="19" xfId="0" applyFont="1" applyFill="1" applyBorder="1" applyAlignment="1">
      <alignment vertical="top" wrapText="1"/>
    </xf>
    <xf numFmtId="0" fontId="17" fillId="0" borderId="16" xfId="0" applyFont="1" applyBorder="1" applyAlignment="1">
      <alignment vertical="top" wrapText="1"/>
    </xf>
    <xf numFmtId="0" fontId="14" fillId="0" borderId="24" xfId="0" applyFont="1" applyBorder="1" applyAlignment="1">
      <alignment vertical="top" wrapText="1"/>
    </xf>
    <xf numFmtId="0" fontId="13" fillId="0" borderId="32" xfId="0" applyFont="1" applyBorder="1" applyAlignment="1">
      <alignment vertical="top" wrapText="1"/>
    </xf>
    <xf numFmtId="0" fontId="14" fillId="0" borderId="35" xfId="0" applyFont="1" applyBorder="1" applyAlignment="1">
      <alignment vertical="top" wrapText="1"/>
    </xf>
    <xf numFmtId="0" fontId="14" fillId="10" borderId="7" xfId="0" applyFont="1" applyFill="1" applyBorder="1" applyAlignment="1">
      <alignment vertical="top" wrapText="1"/>
    </xf>
    <xf numFmtId="0" fontId="14" fillId="10" borderId="16" xfId="0" applyFont="1" applyFill="1" applyBorder="1" applyAlignment="1">
      <alignment vertical="top" wrapText="1"/>
    </xf>
    <xf numFmtId="0" fontId="13" fillId="10" borderId="16" xfId="0" applyFont="1" applyFill="1" applyBorder="1" applyAlignment="1">
      <alignment vertical="top" wrapText="1"/>
    </xf>
    <xf numFmtId="0" fontId="15" fillId="10" borderId="6" xfId="0" applyFont="1" applyFill="1" applyBorder="1" applyAlignment="1">
      <alignment vertical="top" wrapText="1"/>
    </xf>
    <xf numFmtId="0" fontId="14" fillId="0" borderId="13" xfId="0" applyFont="1" applyBorder="1" applyAlignment="1">
      <alignment vertical="top" wrapText="1"/>
    </xf>
    <xf numFmtId="0" fontId="14" fillId="0" borderId="10" xfId="0" applyFont="1" applyBorder="1" applyAlignment="1">
      <alignment vertical="top" wrapText="1"/>
    </xf>
    <xf numFmtId="0" fontId="14" fillId="0" borderId="17" xfId="0" applyFont="1" applyBorder="1" applyAlignment="1">
      <alignment vertical="top" wrapText="1"/>
    </xf>
    <xf numFmtId="0" fontId="14" fillId="10" borderId="42" xfId="0" applyFont="1" applyFill="1" applyBorder="1" applyAlignment="1">
      <alignment vertical="top" wrapText="1"/>
    </xf>
    <xf numFmtId="0" fontId="14" fillId="10" borderId="18" xfId="0" applyFont="1" applyFill="1" applyBorder="1" applyAlignment="1">
      <alignment vertical="top" wrapText="1"/>
    </xf>
    <xf numFmtId="0" fontId="14" fillId="10" borderId="43" xfId="0" applyFont="1" applyFill="1" applyBorder="1" applyAlignment="1">
      <alignment vertical="top" wrapText="1"/>
    </xf>
    <xf numFmtId="0" fontId="14" fillId="10" borderId="44" xfId="0" applyFont="1" applyFill="1" applyBorder="1" applyAlignment="1">
      <alignment vertical="top" wrapText="1"/>
    </xf>
    <xf numFmtId="0" fontId="14" fillId="10" borderId="45" xfId="0" applyFont="1" applyFill="1" applyBorder="1" applyAlignment="1">
      <alignment vertical="top" wrapText="1"/>
    </xf>
    <xf numFmtId="0" fontId="14" fillId="10" borderId="10" xfId="0" applyFont="1" applyFill="1" applyBorder="1" applyAlignment="1">
      <alignment vertical="top" wrapText="1"/>
    </xf>
    <xf numFmtId="0" fontId="14" fillId="10" borderId="46" xfId="0" applyFont="1" applyFill="1" applyBorder="1" applyAlignment="1">
      <alignment vertical="top" wrapText="1"/>
    </xf>
    <xf numFmtId="0" fontId="13" fillId="0" borderId="47" xfId="0" applyFont="1" applyBorder="1" applyAlignment="1">
      <alignment vertical="top" wrapText="1"/>
    </xf>
    <xf numFmtId="0" fontId="14" fillId="0" borderId="18" xfId="0" applyFont="1" applyBorder="1" applyAlignment="1">
      <alignment vertical="top" wrapText="1"/>
    </xf>
    <xf numFmtId="0" fontId="13" fillId="0" borderId="22" xfId="0" applyFont="1" applyBorder="1" applyAlignment="1">
      <alignment vertical="top" wrapText="1"/>
    </xf>
    <xf numFmtId="0" fontId="13" fillId="0" borderId="27" xfId="0" applyFont="1" applyBorder="1" applyAlignment="1">
      <alignment vertical="top" wrapText="1"/>
    </xf>
    <xf numFmtId="0" fontId="15" fillId="0" borderId="36" xfId="0" applyFont="1" applyBorder="1" applyAlignment="1">
      <alignment vertical="top" wrapText="1"/>
    </xf>
    <xf numFmtId="0" fontId="13" fillId="0" borderId="40" xfId="0" applyFont="1" applyBorder="1" applyAlignment="1">
      <alignment vertical="top" wrapText="1"/>
    </xf>
    <xf numFmtId="0" fontId="14" fillId="10" borderId="48" xfId="0" applyFont="1" applyFill="1" applyBorder="1" applyAlignment="1">
      <alignment vertical="top" wrapText="1"/>
    </xf>
    <xf numFmtId="0" fontId="14" fillId="10" borderId="47" xfId="0" applyFont="1" applyFill="1" applyBorder="1" applyAlignment="1">
      <alignment vertical="top" wrapText="1"/>
    </xf>
    <xf numFmtId="0" fontId="14" fillId="10" borderId="49" xfId="0" applyFont="1" applyFill="1" applyBorder="1" applyAlignment="1">
      <alignment vertical="top" wrapText="1"/>
    </xf>
    <xf numFmtId="0" fontId="15" fillId="10" borderId="22" xfId="0" applyFont="1" applyFill="1" applyBorder="1" applyAlignment="1">
      <alignment vertical="top" wrapText="1"/>
    </xf>
    <xf numFmtId="0" fontId="14" fillId="10" borderId="50" xfId="0" applyFont="1" applyFill="1" applyBorder="1" applyAlignment="1">
      <alignment vertical="top" wrapText="1"/>
    </xf>
    <xf numFmtId="0" fontId="14" fillId="10" borderId="51" xfId="0" applyFont="1" applyFill="1" applyBorder="1" applyAlignment="1">
      <alignment vertical="top" wrapText="1"/>
    </xf>
    <xf numFmtId="0" fontId="14" fillId="10" borderId="52" xfId="0" applyFont="1" applyFill="1" applyBorder="1" applyAlignment="1">
      <alignment vertical="top" wrapText="1"/>
    </xf>
    <xf numFmtId="0" fontId="14" fillId="10" borderId="41" xfId="0" applyFont="1" applyFill="1" applyBorder="1" applyAlignment="1">
      <alignment vertical="top" wrapText="1"/>
    </xf>
    <xf numFmtId="0" fontId="14" fillId="10" borderId="40" xfId="0" applyFont="1" applyFill="1" applyBorder="1" applyAlignment="1">
      <alignment vertical="top" wrapText="1"/>
    </xf>
    <xf numFmtId="0" fontId="14" fillId="10" borderId="53" xfId="0" applyFont="1" applyFill="1" applyBorder="1" applyAlignment="1">
      <alignment vertical="top" wrapText="1"/>
    </xf>
    <xf numFmtId="0" fontId="14" fillId="10" borderId="54" xfId="0" applyFont="1" applyFill="1" applyBorder="1" applyAlignment="1">
      <alignment vertical="top" wrapText="1"/>
    </xf>
    <xf numFmtId="0" fontId="14" fillId="10" borderId="23" xfId="0" applyFont="1" applyFill="1" applyBorder="1" applyAlignment="1">
      <alignment vertical="top" wrapText="1"/>
    </xf>
    <xf numFmtId="0" fontId="14" fillId="10" borderId="32" xfId="0" applyFont="1" applyFill="1" applyBorder="1" applyAlignment="1">
      <alignment vertical="top" wrapText="1"/>
    </xf>
    <xf numFmtId="0" fontId="14" fillId="10" borderId="13" xfId="0" applyFont="1" applyFill="1" applyBorder="1" applyAlignment="1">
      <alignment vertical="top" wrapText="1"/>
    </xf>
    <xf numFmtId="0" fontId="14" fillId="10" borderId="17" xfId="0" applyFont="1" applyFill="1" applyBorder="1" applyAlignment="1">
      <alignment vertical="top" wrapText="1"/>
    </xf>
    <xf numFmtId="0" fontId="14" fillId="0" borderId="32" xfId="0" applyFont="1" applyBorder="1" applyAlignment="1">
      <alignment vertical="top" wrapText="1"/>
    </xf>
    <xf numFmtId="0" fontId="14" fillId="0" borderId="27" xfId="0" applyFont="1" applyBorder="1" applyAlignment="1">
      <alignment vertical="top" wrapText="1"/>
    </xf>
    <xf numFmtId="0" fontId="13" fillId="10" borderId="21" xfId="0" applyFont="1" applyFill="1" applyBorder="1" applyAlignment="1">
      <alignment vertical="top" wrapText="1"/>
    </xf>
    <xf numFmtId="0" fontId="14" fillId="0" borderId="23" xfId="0" applyFont="1" applyBorder="1" applyAlignment="1">
      <alignment vertical="top" wrapText="1"/>
    </xf>
    <xf numFmtId="0" fontId="15" fillId="0" borderId="22" xfId="0" applyFont="1" applyBorder="1" applyAlignment="1">
      <alignment vertical="top" wrapText="1"/>
    </xf>
    <xf numFmtId="0" fontId="15" fillId="9" borderId="4" xfId="0" applyFont="1" applyFill="1" applyBorder="1" applyAlignment="1">
      <alignment horizontal="left" vertical="center" wrapText="1"/>
    </xf>
    <xf numFmtId="0" fontId="15" fillId="9" borderId="10" xfId="0" applyFont="1" applyFill="1" applyBorder="1" applyAlignment="1">
      <alignment horizontal="left" vertical="center" wrapText="1"/>
    </xf>
    <xf numFmtId="0" fontId="15" fillId="9" borderId="10" xfId="0" applyFont="1" applyFill="1" applyBorder="1" applyAlignment="1">
      <alignment horizontal="left" vertical="center"/>
    </xf>
    <xf numFmtId="0" fontId="15" fillId="9" borderId="8" xfId="0" applyFont="1" applyFill="1" applyBorder="1" applyAlignment="1">
      <alignment horizontal="left" vertical="center"/>
    </xf>
    <xf numFmtId="0" fontId="0" fillId="0" borderId="0" xfId="0" applyAlignment="1">
      <alignment vertical="center"/>
    </xf>
    <xf numFmtId="0" fontId="21" fillId="0" borderId="16" xfId="0" applyFont="1" applyBorder="1" applyAlignment="1">
      <alignment vertical="top" wrapText="1"/>
    </xf>
    <xf numFmtId="0" fontId="13" fillId="0" borderId="23" xfId="0" applyFont="1" applyBorder="1" applyAlignment="1">
      <alignment vertical="top" wrapText="1"/>
    </xf>
    <xf numFmtId="0" fontId="14" fillId="0" borderId="20" xfId="0" applyFont="1" applyBorder="1" applyAlignment="1">
      <alignment horizontal="left" vertical="top" wrapText="1"/>
    </xf>
    <xf numFmtId="0" fontId="19" fillId="10" borderId="23" xfId="0" applyFont="1" applyFill="1" applyBorder="1" applyAlignment="1">
      <alignment vertical="top" wrapText="1"/>
    </xf>
    <xf numFmtId="0" fontId="19" fillId="10" borderId="10" xfId="0" applyFont="1" applyFill="1" applyBorder="1" applyAlignment="1">
      <alignment vertical="top" wrapText="1"/>
    </xf>
    <xf numFmtId="0" fontId="14" fillId="10" borderId="10" xfId="0" applyFont="1" applyFill="1" applyBorder="1" applyAlignment="1">
      <alignment horizontal="left" vertical="top" wrapText="1"/>
    </xf>
    <xf numFmtId="0" fontId="21" fillId="0" borderId="32" xfId="0" applyFont="1" applyBorder="1" applyAlignment="1">
      <alignment vertical="top" wrapText="1"/>
    </xf>
    <xf numFmtId="0" fontId="2" fillId="0" borderId="58" xfId="0" applyFont="1" applyBorder="1" applyAlignment="1">
      <alignment horizontal="center" vertical="center"/>
    </xf>
    <xf numFmtId="0" fontId="2" fillId="0" borderId="58" xfId="0" applyFont="1" applyBorder="1" applyAlignment="1">
      <alignment horizontal="left" vertical="center"/>
    </xf>
    <xf numFmtId="14" fontId="2" fillId="0" borderId="58" xfId="0" applyNumberFormat="1" applyFont="1" applyBorder="1" applyAlignment="1">
      <alignment horizontal="center" vertical="center"/>
    </xf>
    <xf numFmtId="14" fontId="1" fillId="0" borderId="58" xfId="0" applyNumberFormat="1" applyFont="1" applyBorder="1" applyAlignment="1">
      <alignment horizontal="center" vertical="center"/>
    </xf>
    <xf numFmtId="0" fontId="1" fillId="0" borderId="58" xfId="0" applyFont="1" applyBorder="1" applyAlignment="1">
      <alignment horizontal="center" vertical="center" wrapText="1"/>
    </xf>
    <xf numFmtId="14" fontId="4" fillId="0" borderId="58" xfId="0" applyNumberFormat="1" applyFont="1" applyBorder="1" applyAlignment="1">
      <alignment horizontal="center" vertical="center"/>
    </xf>
    <xf numFmtId="0" fontId="4" fillId="0" borderId="58" xfId="0" applyFont="1" applyBorder="1" applyAlignment="1">
      <alignment horizontal="center" vertical="center"/>
    </xf>
    <xf numFmtId="0" fontId="1" fillId="0" borderId="58" xfId="0" applyFont="1" applyBorder="1" applyAlignment="1">
      <alignment vertical="center" wrapText="1"/>
    </xf>
    <xf numFmtId="0" fontId="1" fillId="0" borderId="58" xfId="0" applyFont="1" applyBorder="1" applyAlignment="1">
      <alignment horizontal="left" vertical="center"/>
    </xf>
    <xf numFmtId="14" fontId="1" fillId="0" borderId="58" xfId="0" applyNumberFormat="1" applyFont="1" applyBorder="1" applyAlignment="1">
      <alignment horizontal="center" vertical="center" wrapText="1"/>
    </xf>
    <xf numFmtId="0" fontId="9" fillId="7" borderId="27" xfId="3" applyFont="1" applyFill="1" applyBorder="1" applyAlignment="1">
      <alignment horizontal="center" vertical="center" wrapText="1"/>
    </xf>
    <xf numFmtId="0" fontId="9" fillId="7" borderId="0" xfId="3" applyFont="1" applyFill="1" applyAlignment="1">
      <alignment horizontal="center" vertical="center" wrapText="1"/>
    </xf>
    <xf numFmtId="0" fontId="9" fillId="7" borderId="28" xfId="3" applyFont="1" applyFill="1" applyBorder="1" applyAlignment="1">
      <alignment horizontal="center" vertical="center" wrapText="1"/>
    </xf>
    <xf numFmtId="0" fontId="9" fillId="7" borderId="29" xfId="3" applyFont="1" applyFill="1" applyBorder="1" applyAlignment="1">
      <alignment horizontal="center" vertical="center" wrapText="1"/>
    </xf>
    <xf numFmtId="0" fontId="11" fillId="9" borderId="13" xfId="3" applyFill="1" applyBorder="1" applyAlignment="1">
      <alignment horizontal="center" vertical="center" wrapText="1"/>
    </xf>
    <xf numFmtId="0" fontId="11" fillId="9" borderId="32" xfId="3" applyFill="1" applyBorder="1" applyAlignment="1">
      <alignment horizontal="center" vertical="center" wrapText="1"/>
    </xf>
    <xf numFmtId="0" fontId="11" fillId="9" borderId="1" xfId="3" applyFill="1" applyBorder="1" applyAlignment="1">
      <alignment horizontal="center" vertical="center" wrapText="1"/>
    </xf>
    <xf numFmtId="0" fontId="14" fillId="10" borderId="20" xfId="0" applyFont="1" applyFill="1" applyBorder="1" applyAlignment="1">
      <alignment horizontal="left" vertical="top" wrapText="1"/>
    </xf>
    <xf numFmtId="0" fontId="14" fillId="10" borderId="32" xfId="0" applyFont="1" applyFill="1" applyBorder="1" applyAlignment="1">
      <alignment horizontal="left" vertical="top" wrapText="1"/>
    </xf>
    <xf numFmtId="0" fontId="14" fillId="10" borderId="23" xfId="0" applyFont="1" applyFill="1" applyBorder="1" applyAlignment="1">
      <alignment horizontal="left" vertical="top" wrapText="1"/>
    </xf>
    <xf numFmtId="0" fontId="14" fillId="0" borderId="20" xfId="0" applyFont="1" applyBorder="1" applyAlignment="1">
      <alignment horizontal="left" vertical="top" wrapText="1"/>
    </xf>
    <xf numFmtId="0" fontId="14" fillId="0" borderId="32" xfId="0" applyFont="1" applyBorder="1" applyAlignment="1">
      <alignment horizontal="left" vertical="top" wrapText="1"/>
    </xf>
    <xf numFmtId="0" fontId="14" fillId="0" borderId="23" xfId="0" applyFont="1" applyBorder="1" applyAlignment="1">
      <alignment horizontal="left" vertical="top" wrapText="1"/>
    </xf>
    <xf numFmtId="0" fontId="14" fillId="10" borderId="20" xfId="0" applyFont="1" applyFill="1" applyBorder="1" applyAlignment="1">
      <alignment vertical="top" wrapText="1"/>
    </xf>
    <xf numFmtId="0" fontId="14" fillId="10" borderId="32" xfId="0" applyFont="1" applyFill="1" applyBorder="1" applyAlignment="1">
      <alignment vertical="top" wrapText="1"/>
    </xf>
    <xf numFmtId="0" fontId="14" fillId="10" borderId="23" xfId="0" applyFont="1" applyFill="1" applyBorder="1" applyAlignment="1">
      <alignment vertical="top" wrapText="1"/>
    </xf>
    <xf numFmtId="0" fontId="17" fillId="0" borderId="40" xfId="0" applyFont="1" applyBorder="1" applyAlignment="1">
      <alignment vertical="top" wrapText="1"/>
    </xf>
    <xf numFmtId="0" fontId="17" fillId="0" borderId="27" xfId="0" applyFont="1" applyBorder="1" applyAlignment="1">
      <alignment vertical="top" wrapText="1"/>
    </xf>
    <xf numFmtId="0" fontId="16" fillId="12" borderId="39" xfId="0" applyFont="1" applyFill="1" applyBorder="1" applyAlignment="1">
      <alignment vertical="top" wrapText="1"/>
    </xf>
    <xf numFmtId="0" fontId="16" fillId="12" borderId="38" xfId="0" applyFont="1" applyFill="1" applyBorder="1" applyAlignment="1">
      <alignment vertical="top" wrapText="1"/>
    </xf>
    <xf numFmtId="0" fontId="16" fillId="12" borderId="37" xfId="0" applyFont="1" applyFill="1" applyBorder="1" applyAlignment="1">
      <alignment vertical="top" wrapText="1"/>
    </xf>
    <xf numFmtId="0" fontId="15" fillId="9" borderId="57" xfId="0" applyFont="1" applyFill="1" applyBorder="1" applyAlignment="1">
      <alignment horizontal="center" vertical="center"/>
    </xf>
    <xf numFmtId="0" fontId="0" fillId="9" borderId="46" xfId="0" applyFill="1" applyBorder="1" applyAlignment="1">
      <alignment horizontal="center"/>
    </xf>
    <xf numFmtId="0" fontId="0" fillId="9" borderId="41" xfId="0" applyFill="1" applyBorder="1" applyAlignment="1">
      <alignment horizontal="center"/>
    </xf>
    <xf numFmtId="0" fontId="14" fillId="0" borderId="20" xfId="0" applyFont="1" applyBorder="1" applyAlignment="1">
      <alignment vertical="top" wrapText="1"/>
    </xf>
    <xf numFmtId="0" fontId="14" fillId="0" borderId="32" xfId="0" applyFont="1" applyBorder="1" applyAlignment="1">
      <alignment vertical="top" wrapText="1"/>
    </xf>
    <xf numFmtId="0" fontId="14" fillId="0" borderId="23" xfId="0" applyFont="1" applyBorder="1" applyAlignment="1">
      <alignment vertical="top" wrapText="1"/>
    </xf>
    <xf numFmtId="0" fontId="15" fillId="0" borderId="19" xfId="0" applyFont="1" applyBorder="1" applyAlignment="1">
      <alignment vertical="top" wrapText="1"/>
    </xf>
    <xf numFmtId="0" fontId="15" fillId="0" borderId="36" xfId="0" applyFont="1" applyBorder="1" applyAlignment="1">
      <alignment vertical="top" wrapText="1"/>
    </xf>
    <xf numFmtId="0" fontId="15" fillId="14" borderId="56" xfId="0" applyFont="1" applyFill="1" applyBorder="1" applyAlignment="1">
      <alignment horizontal="left"/>
    </xf>
    <xf numFmtId="0" fontId="15" fillId="14" borderId="55" xfId="0" applyFont="1" applyFill="1" applyBorder="1" applyAlignment="1">
      <alignment horizontal="left"/>
    </xf>
    <xf numFmtId="0" fontId="15" fillId="14" borderId="48" xfId="0" applyFont="1" applyFill="1" applyBorder="1" applyAlignment="1">
      <alignment horizontal="left"/>
    </xf>
    <xf numFmtId="0" fontId="19" fillId="10" borderId="32" xfId="0" applyFont="1" applyFill="1" applyBorder="1" applyAlignment="1">
      <alignment horizontal="left" vertical="top" wrapText="1"/>
    </xf>
    <xf numFmtId="0" fontId="19" fillId="10" borderId="23" xfId="0" applyFont="1" applyFill="1" applyBorder="1" applyAlignment="1">
      <alignment horizontal="left" vertical="top" wrapText="1"/>
    </xf>
    <xf numFmtId="0" fontId="13" fillId="10" borderId="35" xfId="0" applyFont="1" applyFill="1" applyBorder="1" applyAlignment="1">
      <alignment horizontal="left" vertical="top" wrapText="1"/>
    </xf>
    <xf numFmtId="0" fontId="14" fillId="0" borderId="21" xfId="0" applyFont="1" applyBorder="1" applyAlignment="1">
      <alignment horizontal="left" vertical="top" wrapText="1"/>
    </xf>
    <xf numFmtId="0" fontId="14" fillId="0" borderId="35" xfId="0" applyFont="1" applyBorder="1" applyAlignment="1">
      <alignment horizontal="left" vertical="top" wrapText="1"/>
    </xf>
    <xf numFmtId="0" fontId="15" fillId="10" borderId="19" xfId="0" applyFont="1" applyFill="1" applyBorder="1" applyAlignment="1">
      <alignment horizontal="left" vertical="top" wrapText="1"/>
    </xf>
    <xf numFmtId="0" fontId="15" fillId="10" borderId="36" xfId="0" applyFont="1" applyFill="1" applyBorder="1" applyAlignment="1">
      <alignment horizontal="left" vertical="top" wrapText="1"/>
    </xf>
    <xf numFmtId="0" fontId="15" fillId="10" borderId="22" xfId="0" applyFont="1" applyFill="1" applyBorder="1" applyAlignment="1">
      <alignment horizontal="left" vertical="top" wrapText="1"/>
    </xf>
    <xf numFmtId="0" fontId="14" fillId="10" borderId="21" xfId="0" applyFont="1" applyFill="1" applyBorder="1" applyAlignment="1">
      <alignment horizontal="left" vertical="top" wrapText="1"/>
    </xf>
    <xf numFmtId="0" fontId="14" fillId="10" borderId="35" xfId="0" applyFont="1" applyFill="1" applyBorder="1" applyAlignment="1">
      <alignment horizontal="left" vertical="top" wrapText="1"/>
    </xf>
    <xf numFmtId="0" fontId="14" fillId="10" borderId="24" xfId="0" applyFont="1" applyFill="1" applyBorder="1" applyAlignment="1">
      <alignment horizontal="left" vertical="top" wrapText="1"/>
    </xf>
    <xf numFmtId="0" fontId="16" fillId="3" borderId="39" xfId="0" applyFont="1" applyFill="1" applyBorder="1" applyAlignment="1">
      <alignment vertical="top" wrapText="1"/>
    </xf>
    <xf numFmtId="0" fontId="16" fillId="3" borderId="38" xfId="0" applyFont="1" applyFill="1" applyBorder="1" applyAlignment="1">
      <alignment vertical="top" wrapText="1"/>
    </xf>
    <xf numFmtId="0" fontId="16" fillId="3" borderId="41" xfId="0" applyFont="1" applyFill="1" applyBorder="1" applyAlignment="1">
      <alignment vertical="top" wrapText="1"/>
    </xf>
    <xf numFmtId="0" fontId="15" fillId="0" borderId="22" xfId="0" applyFont="1" applyBorder="1" applyAlignment="1">
      <alignment vertical="top" wrapText="1"/>
    </xf>
    <xf numFmtId="0" fontId="15" fillId="10" borderId="19" xfId="0" applyFont="1" applyFill="1" applyBorder="1" applyAlignment="1">
      <alignment vertical="top" wrapText="1"/>
    </xf>
    <xf numFmtId="0" fontId="15" fillId="10" borderId="36" xfId="0" applyFont="1" applyFill="1" applyBorder="1" applyAlignment="1">
      <alignment vertical="top" wrapText="1"/>
    </xf>
    <xf numFmtId="0" fontId="15" fillId="10" borderId="22" xfId="0" applyFont="1" applyFill="1" applyBorder="1" applyAlignment="1">
      <alignment vertical="top" wrapText="1"/>
    </xf>
    <xf numFmtId="0" fontId="16" fillId="11" borderId="39" xfId="0" applyFont="1" applyFill="1" applyBorder="1" applyAlignment="1">
      <alignment vertical="top" wrapText="1"/>
    </xf>
    <xf numFmtId="0" fontId="16" fillId="11" borderId="38" xfId="0" applyFont="1" applyFill="1" applyBorder="1" applyAlignment="1">
      <alignment vertical="top" wrapText="1"/>
    </xf>
    <xf numFmtId="0" fontId="16" fillId="11" borderId="37" xfId="0" applyFont="1" applyFill="1" applyBorder="1" applyAlignment="1">
      <alignment vertical="top" wrapText="1"/>
    </xf>
    <xf numFmtId="0" fontId="13" fillId="10" borderId="20" xfId="0" applyFont="1" applyFill="1" applyBorder="1" applyAlignment="1">
      <alignment horizontal="left" vertical="top" wrapText="1"/>
    </xf>
    <xf numFmtId="0" fontId="13" fillId="10" borderId="32" xfId="0" applyFont="1" applyFill="1" applyBorder="1" applyAlignment="1">
      <alignment horizontal="left" vertical="top" wrapText="1"/>
    </xf>
    <xf numFmtId="0" fontId="13" fillId="10" borderId="23" xfId="0" applyFont="1" applyFill="1" applyBorder="1" applyAlignment="1">
      <alignment horizontal="left" vertical="top" wrapText="1"/>
    </xf>
    <xf numFmtId="0" fontId="16" fillId="13" borderId="39" xfId="0" applyFont="1" applyFill="1" applyBorder="1" applyAlignment="1">
      <alignment vertical="top" wrapText="1"/>
    </xf>
    <xf numFmtId="0" fontId="16" fillId="13" borderId="38" xfId="0" applyFont="1" applyFill="1" applyBorder="1" applyAlignment="1">
      <alignment vertical="top" wrapText="1"/>
    </xf>
    <xf numFmtId="0" fontId="16" fillId="13" borderId="37" xfId="0" applyFont="1" applyFill="1" applyBorder="1" applyAlignment="1">
      <alignment vertical="top" wrapText="1"/>
    </xf>
    <xf numFmtId="0" fontId="14" fillId="0" borderId="21" xfId="0" applyFont="1" applyBorder="1" applyAlignment="1">
      <alignment vertical="top" wrapText="1"/>
    </xf>
    <xf numFmtId="0" fontId="14" fillId="0" borderId="35" xfId="0" applyFont="1" applyBorder="1" applyAlignment="1">
      <alignment vertical="top" wrapText="1"/>
    </xf>
    <xf numFmtId="0" fontId="14" fillId="0" borderId="24" xfId="0" applyFont="1" applyBorder="1" applyAlignment="1">
      <alignment vertical="top" wrapText="1"/>
    </xf>
    <xf numFmtId="0" fontId="14" fillId="10" borderId="20" xfId="0" quotePrefix="1" applyFont="1" applyFill="1" applyBorder="1" applyAlignment="1">
      <alignment horizontal="left" vertical="top" wrapText="1"/>
    </xf>
    <xf numFmtId="0" fontId="14" fillId="10" borderId="32" xfId="0" quotePrefix="1" applyFont="1" applyFill="1" applyBorder="1" applyAlignment="1">
      <alignment horizontal="left" vertical="top" wrapText="1"/>
    </xf>
    <xf numFmtId="0" fontId="14" fillId="10" borderId="23" xfId="0" quotePrefix="1" applyFont="1" applyFill="1" applyBorder="1" applyAlignment="1">
      <alignment horizontal="left" vertical="top" wrapText="1"/>
    </xf>
    <xf numFmtId="0" fontId="14" fillId="0" borderId="24" xfId="0" applyFont="1" applyBorder="1" applyAlignment="1">
      <alignment horizontal="left" vertical="top" wrapText="1"/>
    </xf>
    <xf numFmtId="0" fontId="21" fillId="0" borderId="20" xfId="0" applyFont="1" applyBorder="1" applyAlignment="1">
      <alignment vertical="top" wrapText="1"/>
    </xf>
    <xf numFmtId="0" fontId="14" fillId="0" borderId="40" xfId="0" applyFont="1" applyBorder="1" applyAlignment="1">
      <alignment vertical="top" wrapText="1"/>
    </xf>
    <xf numFmtId="0" fontId="14" fillId="0" borderId="27" xfId="0" applyFont="1" applyBorder="1" applyAlignment="1">
      <alignment vertical="top" wrapText="1"/>
    </xf>
  </cellXfs>
  <cellStyles count="4">
    <cellStyle name="Hyperlink" xfId="1" builtinId="8"/>
    <cellStyle name="Normal" xfId="0" builtinId="0"/>
    <cellStyle name="Normal 2" xfId="3" xr:uid="{4ED8CA85-2752-455F-94F2-6D12D5A0E648}"/>
    <cellStyle name="Phone" xfId="2" xr:uid="{CB28AE14-6320-4596-A133-8F028D048A05}"/>
  </cellStyles>
  <dxfs count="21">
    <dxf>
      <font>
        <b/>
        <i val="0"/>
        <color theme="4" tint="-0.24994659260841701"/>
      </font>
    </dxf>
    <dxf>
      <font>
        <b/>
        <i val="0"/>
        <color theme="4" tint="-0.24994659260841701"/>
      </font>
    </dxf>
    <dxf>
      <font>
        <b/>
        <i val="0"/>
        <color theme="4" tint="-0.24994659260841701"/>
      </font>
    </dxf>
    <dxf>
      <font>
        <b/>
        <i val="0"/>
        <color theme="4" tint="-0.24994659260841701"/>
      </font>
    </dxf>
    <dxf>
      <font>
        <b/>
        <i val="0"/>
        <color theme="4" tint="-0.24994659260841701"/>
      </font>
    </dxf>
    <dxf>
      <font>
        <b/>
        <i val="0"/>
        <color theme="4" tint="-0.24994659260841701"/>
      </font>
    </dxf>
    <dxf>
      <font>
        <b/>
        <i val="0"/>
        <color theme="4" tint="-0.24994659260841701"/>
      </font>
    </dxf>
    <dxf>
      <font>
        <b/>
        <i val="0"/>
        <color theme="4" tint="-0.24994659260841701"/>
      </font>
    </dxf>
    <dxf>
      <fill>
        <patternFill patternType="darkGrid">
          <fgColor theme="0" tint="-0.24994659260841701"/>
          <bgColor theme="0"/>
        </patternFill>
      </fill>
    </dxf>
    <dxf>
      <fill>
        <patternFill patternType="darkGrid">
          <fgColor theme="0" tint="-0.24994659260841701"/>
          <bgColor theme="0"/>
        </patternFill>
      </fill>
    </dxf>
    <dxf>
      <fill>
        <patternFill patternType="darkGrid">
          <fgColor theme="0" tint="-0.24994659260841701"/>
          <bgColor theme="0" tint="-4.9989318521683403E-2"/>
        </patternFill>
      </fill>
    </dxf>
    <dxf>
      <fill>
        <patternFill patternType="darkGrid">
          <fgColor theme="0" tint="-0.24994659260841701"/>
          <bgColor theme="0"/>
        </patternFill>
      </fill>
    </dxf>
    <dxf>
      <fill>
        <patternFill>
          <bgColor rgb="FFD1F3FF"/>
        </patternFill>
      </fill>
    </dxf>
    <dxf>
      <fill>
        <patternFill>
          <bgColor rgb="FFFFD1FF"/>
        </patternFill>
      </fill>
    </dxf>
    <dxf>
      <fill>
        <patternFill>
          <bgColor rgb="FFD8EEC0"/>
        </patternFill>
      </fill>
    </dxf>
    <dxf>
      <fill>
        <patternFill>
          <bgColor rgb="FFFFFFA3"/>
        </patternFill>
      </fill>
    </dxf>
    <dxf>
      <fill>
        <patternFill>
          <bgColor rgb="FFFFBDBD"/>
        </patternFill>
      </fill>
    </dxf>
    <dxf>
      <fill>
        <patternFill>
          <bgColor rgb="FFFFD1FF"/>
        </patternFill>
      </fill>
    </dxf>
    <dxf>
      <fill>
        <patternFill>
          <bgColor theme="0" tint="-0.14996795556505021"/>
        </patternFill>
      </fill>
    </dxf>
    <dxf>
      <fill>
        <patternFill>
          <bgColor rgb="FFD3B5E9"/>
        </patternFill>
      </fill>
    </dxf>
    <dxf>
      <font>
        <b/>
        <i val="0"/>
        <strike val="0"/>
        <u val="none"/>
        <color auto="1"/>
      </font>
      <border>
        <left style="thin">
          <color auto="1"/>
        </left>
        <right style="thin">
          <color auto="1"/>
        </right>
        <top style="thin">
          <color auto="1"/>
        </top>
        <bottom style="thin">
          <color auto="1"/>
        </bottom>
      </border>
    </dxf>
  </dxfs>
  <tableStyles count="0" defaultTableStyle="TableStyleMedium2" defaultPivotStyle="PivotStyleLight16"/>
  <colors>
    <mruColors>
      <color rgb="FF17AEA7"/>
      <color rgb="FF5B5B65"/>
      <color rgb="FF4BD98B"/>
      <color rgb="FF8DE7B6"/>
      <color rgb="FFC3F573"/>
      <color rgb="FFB0F244"/>
      <color rgb="FF00CC99"/>
      <color rgb="FFCCFFCC"/>
      <color rgb="FFFFFFCC"/>
      <color rgb="FFD1F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7620</xdr:rowOff>
    </xdr:from>
    <xdr:to>
      <xdr:col>2</xdr:col>
      <xdr:colOff>655320</xdr:colOff>
      <xdr:row>1</xdr:row>
      <xdr:rowOff>228600</xdr:rowOff>
    </xdr:to>
    <xdr:sp macro="[0]!Hide_Unhide" textlink="">
      <xdr:nvSpPr>
        <xdr:cNvPr id="2" name="Rounded Rectangle 1">
          <a:extLst>
            <a:ext uri="{FF2B5EF4-FFF2-40B4-BE49-F238E27FC236}">
              <a16:creationId xmlns:a16="http://schemas.microsoft.com/office/drawing/2014/main" id="{00000000-0008-0000-0000-000002000000}"/>
            </a:ext>
          </a:extLst>
        </xdr:cNvPr>
        <xdr:cNvSpPr/>
      </xdr:nvSpPr>
      <xdr:spPr>
        <a:xfrm>
          <a:off x="0" y="609600"/>
          <a:ext cx="2225040" cy="220980"/>
        </a:xfrm>
        <a:prstGeom prst="roundRect">
          <a:avLst/>
        </a:prstGeom>
        <a:solidFill>
          <a:srgbClr val="5B5B65"/>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00" b="1"/>
            <a:t>Show Phone and Address</a:t>
          </a:r>
        </a:p>
      </xdr:txBody>
    </xdr:sp>
    <xdr:clientData/>
  </xdr:twoCellAnchor>
  <xdr:twoCellAnchor editAs="oneCell">
    <xdr:from>
      <xdr:col>0</xdr:col>
      <xdr:colOff>76200</xdr:colOff>
      <xdr:row>0</xdr:row>
      <xdr:rowOff>38100</xdr:rowOff>
    </xdr:from>
    <xdr:to>
      <xdr:col>0</xdr:col>
      <xdr:colOff>610098</xdr:colOff>
      <xdr:row>0</xdr:row>
      <xdr:rowOff>571998</xdr:rowOff>
    </xdr:to>
    <xdr:pic>
      <xdr:nvPicPr>
        <xdr:cNvPr id="4" name="Picture 3">
          <a:extLst>
            <a:ext uri="{FF2B5EF4-FFF2-40B4-BE49-F238E27FC236}">
              <a16:creationId xmlns:a16="http://schemas.microsoft.com/office/drawing/2014/main" id="{666C7A1D-D3FA-40CF-AF1D-063CCA0E8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38100"/>
          <a:ext cx="533898" cy="5338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352425</xdr:colOff>
      <xdr:row>0</xdr:row>
      <xdr:rowOff>95250</xdr:rowOff>
    </xdr:from>
    <xdr:ext cx="590550" cy="590550"/>
    <xdr:pic>
      <xdr:nvPicPr>
        <xdr:cNvPr id="2" name="Picture 1">
          <a:extLst>
            <a:ext uri="{FF2B5EF4-FFF2-40B4-BE49-F238E27FC236}">
              <a16:creationId xmlns:a16="http://schemas.microsoft.com/office/drawing/2014/main" id="{34642438-C5C7-4FC6-B904-349C654E48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2425" y="95250"/>
          <a:ext cx="590550" cy="590550"/>
        </a:xfrm>
        <a:prstGeom prst="rect">
          <a:avLst/>
        </a:prstGeom>
      </xdr:spPr>
    </xdr:pic>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59999389629810485"/>
  </sheetPr>
  <dimension ref="A1:O120"/>
  <sheetViews>
    <sheetView showGridLines="0" tabSelected="1" zoomScaleNormal="100" workbookViewId="0">
      <pane xSplit="3" ySplit="2" topLeftCell="F3" activePane="bottomRight" state="frozen"/>
      <selection pane="topRight" activeCell="D1" sqref="D1"/>
      <selection pane="bottomLeft" activeCell="A2" sqref="A2"/>
      <selection pane="bottomRight" activeCell="F19" sqref="F19"/>
    </sheetView>
  </sheetViews>
  <sheetFormatPr defaultColWidth="8.81640625" defaultRowHeight="12" x14ac:dyDescent="0.35"/>
  <cols>
    <col min="1" max="1" width="9.54296875" style="2" customWidth="1"/>
    <col min="2" max="2" width="21" style="4" customWidth="1"/>
    <col min="3" max="3" width="12.453125" style="3" customWidth="1"/>
    <col min="4" max="4" width="19.7265625" style="2" hidden="1" customWidth="1"/>
    <col min="5" max="5" width="40.26953125" style="4" hidden="1" customWidth="1"/>
    <col min="6" max="6" width="20.7265625" style="4" customWidth="1"/>
    <col min="7" max="7" width="29.26953125" style="4" customWidth="1"/>
    <col min="8" max="8" width="16.1796875" style="3" bestFit="1" customWidth="1"/>
    <col min="9" max="9" width="17.7265625" style="77" bestFit="1" customWidth="1"/>
    <col min="10" max="10" width="15" style="77" bestFit="1" customWidth="1"/>
    <col min="11" max="11" width="15" style="77" customWidth="1"/>
    <col min="12" max="12" width="11.54296875" style="3" bestFit="1" customWidth="1"/>
    <col min="13" max="13" width="12" style="2" customWidth="1"/>
    <col min="14" max="14" width="35.54296875" style="71" customWidth="1"/>
    <col min="15" max="16384" width="8.81640625" style="1"/>
  </cols>
  <sheetData>
    <row r="1" spans="1:15" ht="47.5" customHeight="1" x14ac:dyDescent="0.35">
      <c r="A1" s="93"/>
      <c r="B1" s="94" t="s">
        <v>191</v>
      </c>
      <c r="C1" s="95"/>
      <c r="D1" s="93"/>
      <c r="E1" s="96"/>
      <c r="F1" s="96"/>
      <c r="G1" s="96"/>
      <c r="H1" s="95"/>
      <c r="I1" s="97"/>
      <c r="J1" s="97"/>
      <c r="K1" s="97"/>
      <c r="L1" s="95"/>
      <c r="M1" s="93"/>
      <c r="N1" s="98"/>
    </row>
    <row r="2" spans="1:15" s="65" customFormat="1" ht="48" customHeight="1" x14ac:dyDescent="0.3">
      <c r="A2" s="82" t="s">
        <v>0</v>
      </c>
      <c r="B2" s="82" t="s">
        <v>143</v>
      </c>
      <c r="C2" s="83" t="s">
        <v>1</v>
      </c>
      <c r="D2" s="82" t="s">
        <v>2</v>
      </c>
      <c r="E2" s="82" t="s">
        <v>144</v>
      </c>
      <c r="F2" s="82" t="s">
        <v>6</v>
      </c>
      <c r="G2" s="82" t="s">
        <v>7</v>
      </c>
      <c r="H2" s="83" t="s">
        <v>8</v>
      </c>
      <c r="I2" s="82" t="s">
        <v>53</v>
      </c>
      <c r="J2" s="82" t="s">
        <v>54</v>
      </c>
      <c r="K2" s="82" t="s">
        <v>175</v>
      </c>
      <c r="L2" s="83" t="s">
        <v>133</v>
      </c>
      <c r="M2" s="82" t="s">
        <v>151</v>
      </c>
      <c r="N2" s="82" t="s">
        <v>157</v>
      </c>
    </row>
    <row r="3" spans="1:15" x14ac:dyDescent="0.35">
      <c r="A3" s="210"/>
      <c r="B3" s="211"/>
      <c r="C3" s="212"/>
      <c r="D3" s="210"/>
      <c r="E3" s="211"/>
      <c r="F3" s="218"/>
      <c r="G3" s="211"/>
      <c r="H3" s="213"/>
      <c r="I3" s="219"/>
      <c r="J3" s="214"/>
      <c r="K3" s="214"/>
      <c r="L3" s="215"/>
      <c r="M3" s="216"/>
      <c r="N3" s="217"/>
    </row>
    <row r="4" spans="1:15" x14ac:dyDescent="0.35">
      <c r="A4" s="105"/>
      <c r="B4" s="106"/>
      <c r="C4" s="107"/>
      <c r="D4" s="105"/>
      <c r="E4" s="106"/>
      <c r="F4" s="108"/>
      <c r="G4" s="106"/>
      <c r="H4" s="109"/>
      <c r="I4" s="110"/>
      <c r="J4" s="110"/>
      <c r="K4" s="110"/>
      <c r="L4" s="80"/>
      <c r="M4" s="81"/>
      <c r="N4" s="111"/>
    </row>
    <row r="5" spans="1:15" x14ac:dyDescent="0.35">
      <c r="A5" s="105"/>
      <c r="B5" s="106"/>
      <c r="C5" s="107"/>
      <c r="D5" s="105"/>
      <c r="E5" s="106"/>
      <c r="F5" s="108"/>
      <c r="G5" s="106"/>
      <c r="H5" s="109"/>
      <c r="I5" s="110"/>
      <c r="J5" s="110"/>
      <c r="K5" s="110"/>
      <c r="L5" s="80"/>
      <c r="M5" s="81"/>
      <c r="N5" s="111"/>
    </row>
    <row r="6" spans="1:15" x14ac:dyDescent="0.35">
      <c r="A6" s="105"/>
      <c r="B6" s="106"/>
      <c r="C6" s="107"/>
      <c r="D6" s="105"/>
      <c r="E6" s="106"/>
      <c r="F6" s="112"/>
      <c r="G6" s="106"/>
      <c r="H6" s="109"/>
      <c r="I6" s="113"/>
      <c r="J6" s="110"/>
      <c r="K6" s="110"/>
      <c r="L6" s="80"/>
      <c r="M6" s="81"/>
      <c r="N6" s="111"/>
    </row>
    <row r="7" spans="1:15" x14ac:dyDescent="0.35">
      <c r="A7" s="105"/>
      <c r="B7" s="106"/>
      <c r="C7" s="107"/>
      <c r="D7" s="105"/>
      <c r="E7" s="106"/>
      <c r="F7" s="108"/>
      <c r="G7" s="106"/>
      <c r="H7" s="109"/>
      <c r="I7" s="113"/>
      <c r="J7" s="110"/>
      <c r="K7" s="110"/>
      <c r="L7" s="80"/>
      <c r="M7" s="81"/>
      <c r="N7" s="111"/>
    </row>
    <row r="8" spans="1:15" x14ac:dyDescent="0.35">
      <c r="A8" s="105"/>
      <c r="B8" s="106"/>
      <c r="C8" s="107"/>
      <c r="D8" s="105"/>
      <c r="E8" s="106"/>
      <c r="F8" s="108"/>
      <c r="G8" s="106"/>
      <c r="H8" s="109"/>
      <c r="I8" s="113"/>
      <c r="J8" s="110"/>
      <c r="K8" s="110"/>
      <c r="L8" s="80"/>
      <c r="M8" s="81"/>
      <c r="N8" s="111"/>
    </row>
    <row r="9" spans="1:15" x14ac:dyDescent="0.35">
      <c r="A9" s="105"/>
      <c r="B9" s="106"/>
      <c r="C9" s="107"/>
      <c r="D9" s="105"/>
      <c r="E9" s="106"/>
      <c r="F9" s="108"/>
      <c r="G9" s="106"/>
      <c r="H9" s="109"/>
      <c r="I9" s="113"/>
      <c r="J9" s="110"/>
      <c r="K9" s="110"/>
      <c r="L9" s="80"/>
      <c r="M9" s="81"/>
      <c r="N9" s="111"/>
    </row>
    <row r="10" spans="1:15" x14ac:dyDescent="0.35">
      <c r="A10" s="105"/>
      <c r="B10" s="106"/>
      <c r="C10" s="107"/>
      <c r="D10" s="105"/>
      <c r="E10" s="106"/>
      <c r="F10" s="108"/>
      <c r="G10" s="106"/>
      <c r="H10" s="109"/>
      <c r="I10" s="110"/>
      <c r="J10" s="110"/>
      <c r="K10" s="110"/>
      <c r="L10" s="80"/>
      <c r="M10" s="81"/>
      <c r="N10" s="111"/>
    </row>
    <row r="11" spans="1:15" x14ac:dyDescent="0.35">
      <c r="A11" s="105"/>
      <c r="B11" s="106"/>
      <c r="C11" s="107"/>
      <c r="D11" s="105"/>
      <c r="E11" s="106"/>
      <c r="F11" s="108"/>
      <c r="G11" s="106"/>
      <c r="H11" s="109"/>
      <c r="I11" s="113"/>
      <c r="J11" s="110"/>
      <c r="K11" s="110"/>
      <c r="L11" s="80"/>
      <c r="M11" s="81"/>
      <c r="N11" s="111"/>
    </row>
    <row r="12" spans="1:15" x14ac:dyDescent="0.35">
      <c r="A12" s="105"/>
      <c r="B12" s="106"/>
      <c r="C12" s="107"/>
      <c r="D12" s="105"/>
      <c r="E12" s="106"/>
      <c r="F12" s="112"/>
      <c r="G12" s="106"/>
      <c r="H12" s="109"/>
      <c r="I12" s="110"/>
      <c r="J12" s="110"/>
      <c r="K12" s="110"/>
      <c r="L12" s="80"/>
      <c r="M12" s="81"/>
      <c r="N12" s="111"/>
    </row>
    <row r="13" spans="1:15" x14ac:dyDescent="0.35">
      <c r="A13" s="105"/>
      <c r="B13" s="106"/>
      <c r="C13" s="107"/>
      <c r="D13" s="105"/>
      <c r="E13" s="106"/>
      <c r="F13" s="108"/>
      <c r="G13" s="106"/>
      <c r="H13" s="109"/>
      <c r="I13" s="110"/>
      <c r="J13" s="110"/>
      <c r="K13" s="110"/>
      <c r="L13" s="80"/>
      <c r="M13" s="81"/>
      <c r="N13" s="111"/>
    </row>
    <row r="14" spans="1:15" x14ac:dyDescent="0.3">
      <c r="A14" s="105"/>
      <c r="B14" s="106"/>
      <c r="C14" s="107"/>
      <c r="D14" s="105"/>
      <c r="E14" s="106"/>
      <c r="F14" s="108"/>
      <c r="G14" s="106"/>
      <c r="H14" s="109"/>
      <c r="I14" s="110"/>
      <c r="J14" s="110"/>
      <c r="K14" s="110"/>
      <c r="L14" s="80"/>
      <c r="M14" s="81"/>
      <c r="N14" s="111"/>
      <c r="O14" s="65"/>
    </row>
    <row r="15" spans="1:15" x14ac:dyDescent="0.35">
      <c r="A15" s="105"/>
      <c r="B15" s="106"/>
      <c r="C15" s="107"/>
      <c r="D15" s="105"/>
      <c r="E15" s="106"/>
      <c r="F15" s="108"/>
      <c r="G15" s="106"/>
      <c r="H15" s="109"/>
      <c r="I15" s="113"/>
      <c r="J15" s="110"/>
      <c r="K15" s="110"/>
      <c r="L15" s="80"/>
      <c r="M15" s="81"/>
      <c r="N15" s="111"/>
    </row>
    <row r="16" spans="1:15" x14ac:dyDescent="0.35">
      <c r="A16" s="99"/>
      <c r="B16" s="100"/>
      <c r="C16" s="101"/>
      <c r="D16" s="99"/>
      <c r="E16" s="100"/>
      <c r="F16" s="114"/>
      <c r="G16" s="100"/>
      <c r="H16" s="102"/>
      <c r="I16" s="103"/>
      <c r="J16" s="103"/>
      <c r="K16" s="103"/>
      <c r="L16" s="78"/>
      <c r="M16" s="79"/>
      <c r="N16" s="104"/>
    </row>
    <row r="17" spans="1:14" x14ac:dyDescent="0.35">
      <c r="A17" s="85"/>
      <c r="B17" s="86"/>
      <c r="C17" s="87"/>
      <c r="D17" s="85"/>
      <c r="E17" s="86"/>
      <c r="F17" s="88"/>
      <c r="G17" s="86"/>
      <c r="H17" s="89"/>
      <c r="I17" s="90"/>
      <c r="J17" s="90"/>
      <c r="K17" s="90"/>
      <c r="N17" s="91"/>
    </row>
    <row r="18" spans="1:14" x14ac:dyDescent="0.35">
      <c r="A18" s="85"/>
      <c r="B18" s="86"/>
      <c r="C18" s="87"/>
      <c r="D18" s="85"/>
      <c r="E18" s="86"/>
      <c r="F18" s="92"/>
      <c r="G18" s="86"/>
      <c r="H18" s="89"/>
      <c r="I18" s="90"/>
      <c r="J18" s="90"/>
      <c r="K18" s="90"/>
      <c r="N18" s="91"/>
    </row>
    <row r="19" spans="1:14" x14ac:dyDescent="0.35">
      <c r="A19" s="85"/>
      <c r="B19" s="86"/>
      <c r="C19" s="87"/>
      <c r="D19" s="85"/>
      <c r="E19" s="86"/>
      <c r="F19" s="88"/>
      <c r="G19" s="86"/>
      <c r="H19" s="89"/>
      <c r="I19" s="90"/>
      <c r="J19" s="90"/>
      <c r="K19" s="90"/>
      <c r="N19" s="91"/>
    </row>
    <row r="20" spans="1:14" x14ac:dyDescent="0.35">
      <c r="A20" s="85"/>
      <c r="B20" s="86"/>
      <c r="C20" s="87"/>
      <c r="D20" s="85"/>
      <c r="E20" s="86"/>
      <c r="F20" s="88"/>
      <c r="G20" s="86"/>
      <c r="H20" s="89"/>
      <c r="I20" s="90"/>
      <c r="J20" s="90"/>
      <c r="K20" s="90"/>
      <c r="N20" s="91"/>
    </row>
    <row r="21" spans="1:14" x14ac:dyDescent="0.35">
      <c r="B21" s="86"/>
      <c r="C21" s="87"/>
      <c r="D21" s="85"/>
      <c r="E21" s="86"/>
    </row>
    <row r="22" spans="1:14" x14ac:dyDescent="0.35">
      <c r="B22" s="86"/>
      <c r="C22" s="87"/>
      <c r="D22" s="85"/>
      <c r="E22" s="86"/>
    </row>
    <row r="23" spans="1:14" x14ac:dyDescent="0.35">
      <c r="B23" s="86"/>
      <c r="C23" s="87"/>
      <c r="D23" s="85"/>
      <c r="E23" s="86"/>
    </row>
    <row r="24" spans="1:14" x14ac:dyDescent="0.35">
      <c r="B24" s="86"/>
      <c r="C24" s="87"/>
      <c r="D24" s="85"/>
      <c r="E24" s="86"/>
    </row>
    <row r="25" spans="1:14" x14ac:dyDescent="0.35">
      <c r="B25" s="86"/>
      <c r="C25" s="87"/>
      <c r="D25" s="85"/>
      <c r="E25" s="86"/>
    </row>
    <row r="26" spans="1:14" x14ac:dyDescent="0.35">
      <c r="B26" s="86"/>
      <c r="C26" s="87"/>
      <c r="D26" s="85"/>
      <c r="E26" s="86"/>
    </row>
    <row r="27" spans="1:14" x14ac:dyDescent="0.35">
      <c r="B27" s="86"/>
      <c r="C27" s="87"/>
      <c r="D27" s="85"/>
      <c r="E27" s="86"/>
    </row>
    <row r="28" spans="1:14" x14ac:dyDescent="0.35">
      <c r="B28" s="86"/>
      <c r="C28" s="87"/>
      <c r="D28" s="85"/>
      <c r="E28" s="86"/>
    </row>
    <row r="29" spans="1:14" x14ac:dyDescent="0.35">
      <c r="B29" s="86"/>
      <c r="C29" s="87"/>
      <c r="D29" s="85"/>
      <c r="E29" s="86"/>
      <c r="G29" s="86"/>
    </row>
    <row r="30" spans="1:14" x14ac:dyDescent="0.35">
      <c r="B30" s="86"/>
      <c r="C30" s="87"/>
      <c r="D30" s="85"/>
      <c r="E30" s="86"/>
    </row>
    <row r="31" spans="1:14" x14ac:dyDescent="0.35">
      <c r="B31" s="86"/>
      <c r="C31" s="87"/>
      <c r="D31" s="85"/>
      <c r="E31" s="86"/>
    </row>
    <row r="32" spans="1:14" x14ac:dyDescent="0.35">
      <c r="B32" s="86"/>
      <c r="C32" s="87"/>
      <c r="D32" s="85"/>
      <c r="E32" s="86"/>
    </row>
    <row r="33" spans="2:5" x14ac:dyDescent="0.35">
      <c r="B33" s="86"/>
      <c r="C33" s="87"/>
      <c r="D33" s="85"/>
      <c r="E33" s="86"/>
    </row>
    <row r="34" spans="2:5" x14ac:dyDescent="0.35">
      <c r="B34" s="86"/>
      <c r="C34" s="87"/>
      <c r="D34" s="85"/>
      <c r="E34" s="86"/>
    </row>
    <row r="35" spans="2:5" x14ac:dyDescent="0.35">
      <c r="B35" s="86"/>
      <c r="C35" s="87"/>
      <c r="D35" s="85"/>
      <c r="E35" s="86"/>
    </row>
    <row r="113" spans="9:11" x14ac:dyDescent="0.35">
      <c r="I113" s="84"/>
    </row>
    <row r="114" spans="9:11" x14ac:dyDescent="0.35">
      <c r="I114" s="84"/>
    </row>
    <row r="119" spans="9:11" x14ac:dyDescent="0.35">
      <c r="J119" s="84"/>
      <c r="K119" s="84"/>
    </row>
    <row r="120" spans="9:11" x14ac:dyDescent="0.35">
      <c r="I120" s="84"/>
    </row>
  </sheetData>
  <autoFilter ref="A2:N109" xr:uid="{00000000-0009-0000-0000-000000000000}"/>
  <conditionalFormatting sqref="A1:N1048576">
    <cfRule type="expression" dxfId="20" priority="47">
      <formula>ROW()=CELL("row")</formula>
    </cfRule>
    <cfRule type="expression" dxfId="19" priority="48">
      <formula>OR($G1="No longer applicable", $G1="Screening unnecessary", $G1="Vaccination unnecessary")</formula>
    </cfRule>
    <cfRule type="expression" dxfId="18" priority="49">
      <formula>OR(ISNUMBER(SEARCH("Declined",$G1)), ISNUMBER(SEARCH("contraindicated", $G1)))</formula>
    </cfRule>
    <cfRule type="expression" dxfId="17" priority="51">
      <formula>AND(ISNUMBER($L1), $L1&lt;=TODAY(), $G1="Diabetic eye exam discussed")</formula>
    </cfRule>
    <cfRule type="expression" dxfId="16" priority="52">
      <formula>AND(ISNUMBER($L1), $L1&lt;=TODAY(), $G1&lt;&gt;"Not addressed")</formula>
    </cfRule>
    <cfRule type="expression" dxfId="15" priority="53">
      <formula>OR($G1="AWV scheduled", $G1="Diabetic eye exam referral made",  $G1="Colon cancer screening ordered", $G1="Screening test ordered", $G1="Urine sample submitted", $G1="Urine microalbumin ordered", $G1="Appointment scheduled", $G1="Office visit scheduled", $G1="Contacted to schedule appt", $G1="Walk in advised", $G1="Screening appt made", $G1="Patient has appointment to discuss", $G1="HgbAic NOT at goal", $G1="Test ordered",  $G1="Will call later to schedule", $G1="Obtaining outside records", $G1="Diabetic eye exam scheduled", $G1="Scheduled call back - BP not at goal")</formula>
    </cfRule>
    <cfRule type="expression" dxfId="14" priority="54">
      <formula>OR(ISNUMBER(SEARCH("Completed",$G1)), ISNUMBER(SEARCH("Goal",$G1)), $G1="Chronic diagnosis coded", $I1="Attestation sent", $G1="Patient currently on ACE/ARB")</formula>
    </cfRule>
    <cfRule type="expression" dxfId="13" priority="55">
      <formula>OR($G1="Chronic diagnosis resolved", $G1="Chronic diagnosis invalid")</formula>
    </cfRule>
    <cfRule type="expression" dxfId="12" priority="56">
      <formula>OR($G1="Patient called to schedule AWV", $G1="Diabetic eye exam discussed", $G1="Patient contacted for screening", $G1="Scheduled for call back", $G1="Patient called to schedule appointment", $G1="Screening discussed", $G1="Patient contacted to start ACE/ARB", $G1="Patient contacted for testing")</formula>
    </cfRule>
  </conditionalFormatting>
  <conditionalFormatting sqref="H1:H1048576 L1:M1048576">
    <cfRule type="expression" dxfId="11" priority="41">
      <formula>AND($G1&lt;&gt;"",H1="")</formula>
    </cfRule>
  </conditionalFormatting>
  <dataValidations count="4">
    <dataValidation type="list" allowBlank="1" showInputMessage="1" showErrorMessage="1" errorTitle="Incorrect Value" error="Please select from drop down." sqref="A1:A1048576" xr:uid="{00000000-0002-0000-0000-000000000000}">
      <formula1>"AWV, Screening, Quality, Chronic DX"</formula1>
    </dataValidation>
    <dataValidation type="date" operator="notEqual" allowBlank="1" showInputMessage="1" showErrorMessage="1" errorTitle="Incorrect Value" error="Enter Date of Birth" sqref="C1:C1048576" xr:uid="{00000000-0002-0000-0000-000001000000}">
      <formula1>TODAY()</formula1>
    </dataValidation>
    <dataValidation type="textLength" operator="equal" allowBlank="1" showInputMessage="1" showErrorMessage="1" errorTitle="Incorrect Value" error="Please enter phone number in the following format:_x000a_000-000-0000" sqref="D1:D1048576" xr:uid="{00000000-0002-0000-0000-000002000000}">
      <formula1>12</formula1>
    </dataValidation>
    <dataValidation type="custom" allowBlank="1" showInputMessage="1" showErrorMessage="1" sqref="H1:H1048576" xr:uid="{00000000-0002-0000-0000-000003000000}">
      <formula1>IF(ISNUMBER(SEARCH("completed",$G1)), $H1&lt;=TODAY(), ISNUMBER($H1))</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42" id="{88ADD21F-B3D0-4E14-8B4E-5F12F938B604}">
            <xm:f>AND($G1&lt;&gt;"",COUNTIF(SetUp!$H:$H,$G1)=0)</xm:f>
            <x14:dxf>
              <fill>
                <patternFill patternType="darkGrid">
                  <fgColor theme="0" tint="-0.24994659260841701"/>
                  <bgColor theme="0" tint="-4.9989318521683403E-2"/>
                </patternFill>
              </fill>
            </x14:dxf>
          </x14:cfRule>
          <xm:sqref>I1:I1048576</xm:sqref>
        </x14:conditionalFormatting>
        <x14:conditionalFormatting xmlns:xm="http://schemas.microsoft.com/office/excel/2006/main">
          <x14:cfRule type="expression" priority="43" id="{103CC68C-FFBF-4548-9B85-D9BF3CEFB2D1}">
            <xm:f>OR($G1="Not Addressed", AND($G1&lt;&gt;"",COUNTIF(SetUp!$L:$L,$G1)=0,$J1=""))</xm:f>
            <x14:dxf>
              <fill>
                <patternFill patternType="darkGrid">
                  <fgColor theme="0" tint="-0.24994659260841701"/>
                  <bgColor theme="0"/>
                </patternFill>
              </fill>
            </x14:dxf>
          </x14:cfRule>
          <xm:sqref>J1:J1048576</xm:sqref>
        </x14:conditionalFormatting>
        <x14:conditionalFormatting xmlns:xm="http://schemas.microsoft.com/office/excel/2006/main">
          <x14:cfRule type="expression" priority="44" id="{A4B74D34-CFE0-463D-B025-88867ADC0838}">
            <xm:f>OR($G1="Not Addressed", AND($G1&lt;&gt;"",COUNTIF(SetUp!$P:$P,$G1)=0,$K1=""))</xm:f>
            <x14:dxf>
              <fill>
                <patternFill patternType="darkGrid">
                  <fgColor theme="0" tint="-0.24994659260841701"/>
                  <bgColor theme="0"/>
                </patternFill>
              </fill>
            </x14:dxf>
          </x14:cfRule>
          <xm:sqref>K1:K1048576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4000000}">
          <x14:formula1>
            <xm:f>OFFSET(SetUp!$H$1,MATCH(G2,SetUp!$H:$H,0)-1,1,COUNTIF(SetUp!$H:$H,G2),1)</xm:f>
          </x14:formula1>
          <xm:sqref>I7 I102 I104:I112 I69:I83 I32:I66 I85:I94 I30 I96 I99 I115:I119 I121:I128 I130 I4:I5 I11:I15 I17:I28 I132:I1048576 I2</xm:sqref>
        </x14:dataValidation>
        <x14:dataValidation type="list" allowBlank="1" showInputMessage="1" showErrorMessage="1" xr:uid="{00000000-0002-0000-0000-000005000000}">
          <x14:formula1>
            <xm:f>OFFSET(SetUp!$L$1,MATCH(G2,SetUp!$L:$L,0)-1,1,COUNTIF(SetUp!$L:$L,G2),1)</xm:f>
          </x14:formula1>
          <xm:sqref>J103:K103 J95:K98 J100:K101 J129 J131 J16 J10 J2</xm:sqref>
        </x14:dataValidation>
        <x14:dataValidation type="list" allowBlank="1" showInputMessage="1" showErrorMessage="1" xr:uid="{00000000-0002-0000-0000-000006000000}">
          <x14:formula1>
            <xm:f>OFFSET(SetUp!$P$1,MATCH(G2,SetUp!$P:$P,0)-1,1,COUNTIF(SetUp!$P:$P,G2),1)</xm:f>
          </x14:formula1>
          <xm:sqref>K129 K131 K16 K10 K2</xm:sqref>
        </x14:dataValidation>
        <x14:dataValidation type="list" allowBlank="1" showInputMessage="1" showErrorMessage="1" xr:uid="{00000000-0002-0000-0000-000007000000}">
          <x14:formula1>
            <xm:f>OFFSET(SetUp!$D$1,MATCH(F1,SetUp!D:D,0)-1,1,COUNTIF(SetUp!D:D,F1),1)</xm:f>
          </x14:formula1>
          <xm:sqref>G1:G1048576</xm:sqref>
        </x14:dataValidation>
        <x14:dataValidation type="list" allowBlank="1" showInputMessage="1" showErrorMessage="1" xr:uid="{00000000-0002-0000-0000-000008000000}">
          <x14:formula1>
            <xm:f>OFFSET(SetUp!$A$1,MATCH(A1,SetUp!A:A,0)-1,1,COUNTIF(SetUp!A:A,A1),1)</xm:f>
          </x14:formula1>
          <xm:sqref>F1:F1048576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3AA5D-9B18-4DAD-9378-A00A7B5B96EE}">
  <sheetPr codeName="Sheet3">
    <tabColor theme="7" tint="0.39997558519241921"/>
    <pageSetUpPr fitToPage="1"/>
  </sheetPr>
  <dimension ref="A1:H37"/>
  <sheetViews>
    <sheetView showGridLines="0" zoomScaleNormal="100" workbookViewId="0">
      <selection activeCell="L25" sqref="L25"/>
    </sheetView>
  </sheetViews>
  <sheetFormatPr defaultColWidth="9.1796875" defaultRowHeight="30" customHeight="1" x14ac:dyDescent="0.35"/>
  <cols>
    <col min="1" max="1" width="21" style="122" customWidth="1"/>
    <col min="2" max="2" width="53.81640625" style="122" customWidth="1"/>
    <col min="3" max="3" width="15.7265625" style="122" customWidth="1"/>
    <col min="4" max="4" width="8.54296875" style="122" customWidth="1"/>
    <col min="5" max="5" width="18.7265625" style="122" customWidth="1"/>
    <col min="6" max="6" width="50.1796875" style="122" customWidth="1"/>
    <col min="7" max="7" width="13.81640625" style="122" customWidth="1"/>
    <col min="8" max="8" width="8.54296875" style="122" customWidth="1"/>
    <col min="9" max="16384" width="9.1796875" style="122"/>
  </cols>
  <sheetData>
    <row r="1" spans="1:8" ht="30" customHeight="1" x14ac:dyDescent="0.35">
      <c r="A1" s="220" t="s">
        <v>192</v>
      </c>
      <c r="B1" s="221"/>
      <c r="C1" s="221"/>
      <c r="D1" s="221"/>
      <c r="E1" s="221"/>
      <c r="F1" s="221"/>
      <c r="G1" s="221"/>
      <c r="H1" s="221"/>
    </row>
    <row r="2" spans="1:8" ht="30" customHeight="1" x14ac:dyDescent="0.35">
      <c r="A2" s="222"/>
      <c r="B2" s="223"/>
      <c r="C2" s="223"/>
      <c r="D2" s="223"/>
      <c r="E2" s="223"/>
      <c r="F2" s="223"/>
      <c r="G2" s="223"/>
      <c r="H2" s="223"/>
    </row>
    <row r="3" spans="1:8" ht="30" customHeight="1" x14ac:dyDescent="0.35">
      <c r="A3" s="131" t="s">
        <v>193</v>
      </c>
      <c r="B3" s="132" t="s">
        <v>194</v>
      </c>
      <c r="C3" s="131" t="s">
        <v>195</v>
      </c>
      <c r="D3" s="131" t="s">
        <v>196</v>
      </c>
      <c r="E3" s="131" t="s">
        <v>193</v>
      </c>
      <c r="F3" s="132" t="s">
        <v>194</v>
      </c>
      <c r="G3" s="131" t="s">
        <v>195</v>
      </c>
      <c r="H3" s="131" t="s">
        <v>196</v>
      </c>
    </row>
    <row r="4" spans="1:8" ht="30" customHeight="1" x14ac:dyDescent="0.35">
      <c r="A4" s="224" t="s">
        <v>197</v>
      </c>
      <c r="B4" s="115" t="s">
        <v>198</v>
      </c>
      <c r="C4" s="116" t="s">
        <v>199</v>
      </c>
      <c r="D4" s="127">
        <v>0.318</v>
      </c>
      <c r="E4" s="224" t="s">
        <v>200</v>
      </c>
      <c r="F4" s="117" t="s">
        <v>201</v>
      </c>
      <c r="G4" s="118" t="s">
        <v>202</v>
      </c>
      <c r="H4" s="130">
        <v>0.26800000000000002</v>
      </c>
    </row>
    <row r="5" spans="1:8" ht="30" customHeight="1" x14ac:dyDescent="0.35">
      <c r="A5" s="225"/>
      <c r="B5" s="115" t="s">
        <v>203</v>
      </c>
      <c r="C5" s="116" t="s">
        <v>204</v>
      </c>
      <c r="D5" s="126">
        <v>0.318</v>
      </c>
      <c r="E5" s="225"/>
      <c r="F5" s="119" t="s">
        <v>205</v>
      </c>
      <c r="G5" s="124" t="s">
        <v>206</v>
      </c>
      <c r="H5" s="123">
        <v>0.26800000000000002</v>
      </c>
    </row>
    <row r="6" spans="1:8" ht="30" customHeight="1" x14ac:dyDescent="0.35">
      <c r="A6" s="225"/>
      <c r="B6" s="115" t="s">
        <v>207</v>
      </c>
      <c r="C6" s="116" t="s">
        <v>208</v>
      </c>
      <c r="D6" s="126">
        <v>0.318</v>
      </c>
      <c r="E6" s="225"/>
      <c r="F6" s="117" t="s">
        <v>209</v>
      </c>
      <c r="G6" s="129" t="s">
        <v>210</v>
      </c>
      <c r="H6" s="128">
        <v>0.32300000000000001</v>
      </c>
    </row>
    <row r="7" spans="1:8" ht="30" customHeight="1" x14ac:dyDescent="0.35">
      <c r="A7" s="225"/>
      <c r="B7" s="115" t="s">
        <v>211</v>
      </c>
      <c r="C7" s="116" t="s">
        <v>212</v>
      </c>
      <c r="D7" s="126">
        <v>0.318</v>
      </c>
      <c r="E7" s="225"/>
      <c r="F7" s="117" t="s">
        <v>213</v>
      </c>
      <c r="G7" s="124" t="s">
        <v>214</v>
      </c>
      <c r="H7" s="126">
        <v>0.14000000000000001</v>
      </c>
    </row>
    <row r="8" spans="1:8" ht="30" customHeight="1" x14ac:dyDescent="0.35">
      <c r="A8" s="225"/>
      <c r="B8" s="115" t="s">
        <v>215</v>
      </c>
      <c r="C8" s="116" t="s">
        <v>216</v>
      </c>
      <c r="D8" s="126">
        <v>0.53500000000000003</v>
      </c>
      <c r="E8" s="225"/>
      <c r="F8" s="117" t="s">
        <v>217</v>
      </c>
      <c r="G8" s="124" t="s">
        <v>218</v>
      </c>
      <c r="H8" s="126">
        <v>0.32300000000000001</v>
      </c>
    </row>
    <row r="9" spans="1:8" ht="30" customHeight="1" x14ac:dyDescent="0.35">
      <c r="A9" s="226"/>
      <c r="B9" s="115" t="s">
        <v>219</v>
      </c>
      <c r="C9" s="116" t="s">
        <v>220</v>
      </c>
      <c r="D9" s="126">
        <v>0.61599999999999999</v>
      </c>
      <c r="E9" s="226"/>
      <c r="F9" s="117" t="s">
        <v>221</v>
      </c>
      <c r="G9" s="124" t="s">
        <v>222</v>
      </c>
      <c r="H9" s="126">
        <v>0.32300000000000001</v>
      </c>
    </row>
    <row r="10" spans="1:8" ht="30" customHeight="1" x14ac:dyDescent="0.35">
      <c r="A10" s="224" t="s">
        <v>223</v>
      </c>
      <c r="B10" s="117" t="s">
        <v>224</v>
      </c>
      <c r="C10" s="124" t="s">
        <v>225</v>
      </c>
      <c r="D10" s="127">
        <v>0.318</v>
      </c>
      <c r="E10" s="224" t="s">
        <v>226</v>
      </c>
      <c r="F10" s="117" t="s">
        <v>227</v>
      </c>
      <c r="G10" s="124" t="s">
        <v>228</v>
      </c>
      <c r="H10" s="126">
        <v>0.32800000000000001</v>
      </c>
    </row>
    <row r="11" spans="1:8" ht="30" customHeight="1" x14ac:dyDescent="0.35">
      <c r="A11" s="225"/>
      <c r="B11" s="117" t="s">
        <v>229</v>
      </c>
      <c r="C11" s="124" t="s">
        <v>230</v>
      </c>
      <c r="D11" s="126">
        <v>0.318</v>
      </c>
      <c r="E11" s="225"/>
      <c r="F11" s="124" t="s">
        <v>231</v>
      </c>
      <c r="G11" s="124" t="s">
        <v>232</v>
      </c>
      <c r="H11" s="123">
        <v>0.32800000000000001</v>
      </c>
    </row>
    <row r="12" spans="1:8" ht="30" customHeight="1" x14ac:dyDescent="0.35">
      <c r="A12" s="225"/>
      <c r="B12" s="117" t="s">
        <v>233</v>
      </c>
      <c r="C12" s="124" t="s">
        <v>234</v>
      </c>
      <c r="D12" s="126">
        <v>0.318</v>
      </c>
      <c r="E12" s="225"/>
      <c r="F12" s="124" t="s">
        <v>235</v>
      </c>
      <c r="G12" s="124" t="s">
        <v>228</v>
      </c>
      <c r="H12" s="123">
        <v>0.32800000000000001</v>
      </c>
    </row>
    <row r="13" spans="1:8" ht="30" customHeight="1" x14ac:dyDescent="0.35">
      <c r="A13" s="225"/>
      <c r="B13" s="117" t="s">
        <v>236</v>
      </c>
      <c r="C13" s="124" t="s">
        <v>237</v>
      </c>
      <c r="D13" s="126">
        <v>0.318</v>
      </c>
      <c r="E13" s="225"/>
      <c r="F13" s="124" t="s">
        <v>238</v>
      </c>
      <c r="G13" s="124" t="s">
        <v>239</v>
      </c>
      <c r="H13" s="123">
        <v>0.32800000000000001</v>
      </c>
    </row>
    <row r="14" spans="1:8" ht="30" customHeight="1" x14ac:dyDescent="0.35">
      <c r="A14" s="225"/>
      <c r="B14" s="117" t="s">
        <v>240</v>
      </c>
      <c r="C14" s="124" t="s">
        <v>241</v>
      </c>
      <c r="D14" s="126">
        <v>0.53500000000000003</v>
      </c>
      <c r="E14" s="225"/>
      <c r="F14" s="124" t="s">
        <v>242</v>
      </c>
      <c r="G14" s="124" t="s">
        <v>243</v>
      </c>
      <c r="H14" s="123">
        <v>0.20899999999999999</v>
      </c>
    </row>
    <row r="15" spans="1:8" ht="30" customHeight="1" x14ac:dyDescent="0.35">
      <c r="A15" s="226"/>
      <c r="B15" s="117" t="s">
        <v>244</v>
      </c>
      <c r="C15" s="124" t="s">
        <v>245</v>
      </c>
      <c r="D15" s="126">
        <v>0.61599999999999999</v>
      </c>
      <c r="E15" s="225"/>
      <c r="F15" s="124" t="s">
        <v>246</v>
      </c>
      <c r="G15" s="124" t="s">
        <v>247</v>
      </c>
      <c r="H15" s="123">
        <v>0.20899999999999999</v>
      </c>
    </row>
    <row r="16" spans="1:8" ht="30" customHeight="1" x14ac:dyDescent="0.35">
      <c r="A16" s="224" t="s">
        <v>248</v>
      </c>
      <c r="B16" s="124" t="s">
        <v>249</v>
      </c>
      <c r="C16" s="124" t="s">
        <v>250</v>
      </c>
      <c r="D16" s="123">
        <v>0.58799999999999997</v>
      </c>
      <c r="E16" s="226"/>
      <c r="F16" s="124" t="s">
        <v>251</v>
      </c>
      <c r="G16" s="124" t="s">
        <v>252</v>
      </c>
      <c r="H16" s="123">
        <v>0.30199999999999999</v>
      </c>
    </row>
    <row r="17" spans="1:8" ht="30" customHeight="1" x14ac:dyDescent="0.35">
      <c r="A17" s="225"/>
      <c r="B17" s="124" t="s">
        <v>253</v>
      </c>
      <c r="C17" s="124" t="s">
        <v>254</v>
      </c>
      <c r="D17" s="123">
        <v>0.58799999999999997</v>
      </c>
      <c r="E17" s="224" t="s">
        <v>255</v>
      </c>
      <c r="F17" s="124" t="s">
        <v>256</v>
      </c>
      <c r="G17" s="124" t="s">
        <v>257</v>
      </c>
      <c r="H17" s="123">
        <v>0.23699999999999999</v>
      </c>
    </row>
    <row r="18" spans="1:8" ht="30" customHeight="1" x14ac:dyDescent="0.35">
      <c r="A18" s="225"/>
      <c r="B18" s="124" t="s">
        <v>258</v>
      </c>
      <c r="C18" s="124" t="s">
        <v>259</v>
      </c>
      <c r="D18" s="123">
        <v>0.58799999999999997</v>
      </c>
      <c r="E18" s="225"/>
      <c r="F18" s="124" t="s">
        <v>260</v>
      </c>
      <c r="G18" s="124" t="s">
        <v>261</v>
      </c>
      <c r="H18" s="123">
        <v>0.23699999999999999</v>
      </c>
    </row>
    <row r="19" spans="1:8" ht="30" customHeight="1" x14ac:dyDescent="0.35">
      <c r="A19" s="226"/>
      <c r="B19" s="124" t="s">
        <v>262</v>
      </c>
      <c r="C19" s="124" t="s">
        <v>263</v>
      </c>
      <c r="D19" s="123">
        <v>0.58799999999999997</v>
      </c>
      <c r="E19" s="226"/>
      <c r="F19" s="124" t="s">
        <v>264</v>
      </c>
      <c r="G19" s="124" t="s">
        <v>265</v>
      </c>
      <c r="H19" s="123">
        <v>0.22800000000000001</v>
      </c>
    </row>
    <row r="20" spans="1:8" ht="30" customHeight="1" x14ac:dyDescent="0.35">
      <c r="A20" s="224" t="s">
        <v>266</v>
      </c>
      <c r="B20" s="124" t="s">
        <v>267</v>
      </c>
      <c r="C20" s="124" t="s">
        <v>268</v>
      </c>
      <c r="D20" s="123">
        <v>0.57099999999999995</v>
      </c>
      <c r="E20" s="224" t="s">
        <v>269</v>
      </c>
      <c r="F20" s="124" t="s">
        <v>270</v>
      </c>
      <c r="G20" s="124" t="s">
        <v>271</v>
      </c>
      <c r="H20" s="123">
        <v>0.67400000000000004</v>
      </c>
    </row>
    <row r="21" spans="1:8" ht="30" customHeight="1" x14ac:dyDescent="0.35">
      <c r="A21" s="225"/>
      <c r="B21" s="124" t="s">
        <v>272</v>
      </c>
      <c r="C21" s="124" t="s">
        <v>273</v>
      </c>
      <c r="D21" s="123">
        <v>0.57099999999999995</v>
      </c>
      <c r="E21" s="225"/>
      <c r="F21" s="124" t="s">
        <v>274</v>
      </c>
      <c r="G21" s="124" t="s">
        <v>275</v>
      </c>
      <c r="H21" s="123">
        <v>0.53800000000000003</v>
      </c>
    </row>
    <row r="22" spans="1:8" ht="30" customHeight="1" x14ac:dyDescent="0.35">
      <c r="A22" s="225"/>
      <c r="B22" s="124" t="s">
        <v>276</v>
      </c>
      <c r="C22" s="124" t="s">
        <v>277</v>
      </c>
      <c r="D22" s="123">
        <v>1.0549999999999999</v>
      </c>
      <c r="E22" s="225"/>
      <c r="F22" s="124" t="s">
        <v>278</v>
      </c>
      <c r="G22" s="124" t="s">
        <v>279</v>
      </c>
      <c r="H22" s="123">
        <v>0.309</v>
      </c>
    </row>
    <row r="23" spans="1:8" ht="30" customHeight="1" x14ac:dyDescent="0.35">
      <c r="A23" s="226"/>
      <c r="B23" s="124" t="s">
        <v>280</v>
      </c>
      <c r="C23" s="124" t="s">
        <v>281</v>
      </c>
      <c r="D23" s="123">
        <v>0.57099999999999995</v>
      </c>
      <c r="E23" s="225"/>
      <c r="F23" s="124" t="s">
        <v>282</v>
      </c>
      <c r="G23" s="124" t="s">
        <v>283</v>
      </c>
      <c r="H23" s="123">
        <v>0.309</v>
      </c>
    </row>
    <row r="24" spans="1:8" ht="30" customHeight="1" x14ac:dyDescent="0.35">
      <c r="A24" s="224" t="s">
        <v>284</v>
      </c>
      <c r="B24" s="124" t="s">
        <v>285</v>
      </c>
      <c r="C24" s="124" t="s">
        <v>286</v>
      </c>
      <c r="D24" s="123">
        <v>0.39500000000000002</v>
      </c>
      <c r="E24" s="225"/>
      <c r="F24" s="124" t="s">
        <v>287</v>
      </c>
      <c r="G24" s="124" t="s">
        <v>288</v>
      </c>
      <c r="H24" s="123">
        <v>0.45700000000000002</v>
      </c>
    </row>
    <row r="25" spans="1:8" ht="30" customHeight="1" x14ac:dyDescent="0.35">
      <c r="A25" s="225"/>
      <c r="B25" s="124" t="s">
        <v>289</v>
      </c>
      <c r="C25" s="124" t="s">
        <v>290</v>
      </c>
      <c r="D25" s="123">
        <v>0.39500000000000002</v>
      </c>
      <c r="E25" s="225"/>
      <c r="F25" s="124" t="s">
        <v>291</v>
      </c>
      <c r="G25" s="124" t="s">
        <v>292</v>
      </c>
      <c r="H25" s="123">
        <v>0.45700000000000002</v>
      </c>
    </row>
    <row r="26" spans="1:8" ht="30" customHeight="1" x14ac:dyDescent="0.35">
      <c r="A26" s="225"/>
      <c r="B26" s="124" t="s">
        <v>293</v>
      </c>
      <c r="C26" s="124" t="s">
        <v>294</v>
      </c>
      <c r="D26" s="123">
        <v>0.38300000000000001</v>
      </c>
      <c r="E26" s="226"/>
      <c r="F26" s="124" t="s">
        <v>295</v>
      </c>
      <c r="G26" s="124" t="s">
        <v>296</v>
      </c>
      <c r="H26" s="123">
        <v>0.441</v>
      </c>
    </row>
    <row r="27" spans="1:8" ht="30" customHeight="1" x14ac:dyDescent="0.35">
      <c r="A27" s="225"/>
      <c r="B27" s="124" t="s">
        <v>297</v>
      </c>
      <c r="C27" s="124" t="s">
        <v>298</v>
      </c>
      <c r="D27" s="123">
        <v>0.38300000000000001</v>
      </c>
      <c r="E27" s="224" t="s">
        <v>299</v>
      </c>
      <c r="F27" s="124" t="s">
        <v>300</v>
      </c>
      <c r="G27" s="124" t="s">
        <v>301</v>
      </c>
      <c r="H27" s="123">
        <v>0.221</v>
      </c>
    </row>
    <row r="28" spans="1:8" ht="30" customHeight="1" x14ac:dyDescent="0.35">
      <c r="A28" s="225"/>
      <c r="B28" s="124" t="s">
        <v>302</v>
      </c>
      <c r="C28" s="124" t="s">
        <v>303</v>
      </c>
      <c r="D28" s="123">
        <v>0.38300000000000001</v>
      </c>
      <c r="E28" s="225"/>
      <c r="F28" s="124" t="s">
        <v>304</v>
      </c>
      <c r="G28" s="124" t="s">
        <v>305</v>
      </c>
      <c r="H28" s="123">
        <v>0.625</v>
      </c>
    </row>
    <row r="29" spans="1:8" ht="30" customHeight="1" x14ac:dyDescent="0.35">
      <c r="A29" s="226"/>
      <c r="B29" s="124" t="s">
        <v>306</v>
      </c>
      <c r="C29" s="124" t="s">
        <v>307</v>
      </c>
      <c r="D29" s="123">
        <v>0.60799999999999998</v>
      </c>
      <c r="E29" s="225"/>
      <c r="F29" s="124" t="s">
        <v>308</v>
      </c>
      <c r="G29" s="124" t="s">
        <v>309</v>
      </c>
      <c r="H29" s="123">
        <v>1.3879999999999999</v>
      </c>
    </row>
    <row r="30" spans="1:8" ht="30" customHeight="1" x14ac:dyDescent="0.35">
      <c r="A30" s="224" t="s">
        <v>310</v>
      </c>
      <c r="B30" s="120" t="s">
        <v>311</v>
      </c>
      <c r="C30" s="121" t="s">
        <v>312</v>
      </c>
      <c r="D30" s="125">
        <v>0.29799999999999999</v>
      </c>
      <c r="E30" s="225"/>
      <c r="F30" s="124" t="s">
        <v>313</v>
      </c>
      <c r="G30" s="124" t="s">
        <v>314</v>
      </c>
      <c r="H30" s="123">
        <v>0.441</v>
      </c>
    </row>
    <row r="31" spans="1:8" ht="30" customHeight="1" x14ac:dyDescent="0.35">
      <c r="A31" s="225"/>
      <c r="B31" s="120" t="s">
        <v>315</v>
      </c>
      <c r="C31" s="121" t="s">
        <v>316</v>
      </c>
      <c r="D31" s="123">
        <v>0.29799999999999999</v>
      </c>
      <c r="E31" s="225"/>
      <c r="F31" s="124" t="s">
        <v>317</v>
      </c>
      <c r="G31" s="124" t="s">
        <v>314</v>
      </c>
      <c r="H31" s="123">
        <v>0.625</v>
      </c>
    </row>
    <row r="32" spans="1:8" ht="30" customHeight="1" x14ac:dyDescent="0.35">
      <c r="A32" s="225"/>
      <c r="B32" s="120" t="s">
        <v>318</v>
      </c>
      <c r="C32" s="121" t="s">
        <v>319</v>
      </c>
      <c r="D32" s="123">
        <v>0.29799999999999999</v>
      </c>
      <c r="E32" s="225"/>
      <c r="F32" s="124" t="s">
        <v>320</v>
      </c>
      <c r="G32" s="124" t="s">
        <v>321</v>
      </c>
      <c r="H32" s="123">
        <v>0.625</v>
      </c>
    </row>
    <row r="33" spans="1:8" ht="30" customHeight="1" x14ac:dyDescent="0.35">
      <c r="A33" s="225"/>
      <c r="B33" s="120" t="s">
        <v>322</v>
      </c>
      <c r="C33" s="121" t="s">
        <v>323</v>
      </c>
      <c r="D33" s="123">
        <v>0.29799999999999999</v>
      </c>
      <c r="E33" s="226"/>
      <c r="F33" s="124" t="s">
        <v>324</v>
      </c>
      <c r="G33" s="124" t="s">
        <v>325</v>
      </c>
      <c r="H33" s="123" t="s">
        <v>326</v>
      </c>
    </row>
    <row r="34" spans="1:8" ht="30" customHeight="1" x14ac:dyDescent="0.35">
      <c r="A34" s="226"/>
      <c r="B34" s="120" t="s">
        <v>327</v>
      </c>
      <c r="C34" s="121" t="s">
        <v>328</v>
      </c>
      <c r="D34" s="123">
        <v>0.4</v>
      </c>
      <c r="E34" s="224" t="s">
        <v>329</v>
      </c>
      <c r="F34" s="124" t="s">
        <v>330</v>
      </c>
      <c r="G34" s="124" t="s">
        <v>331</v>
      </c>
      <c r="H34" s="123">
        <v>0.54500000000000004</v>
      </c>
    </row>
    <row r="35" spans="1:8" ht="30" customHeight="1" x14ac:dyDescent="0.35">
      <c r="A35" s="124"/>
      <c r="B35" s="124"/>
      <c r="C35" s="124"/>
      <c r="D35" s="124"/>
      <c r="E35" s="225"/>
      <c r="F35" s="124" t="s">
        <v>332</v>
      </c>
      <c r="G35" s="124" t="s">
        <v>333</v>
      </c>
      <c r="H35" s="123">
        <v>0.27300000000000002</v>
      </c>
    </row>
    <row r="36" spans="1:8" ht="30" customHeight="1" x14ac:dyDescent="0.35">
      <c r="A36" s="124"/>
      <c r="B36" s="124"/>
      <c r="C36" s="124"/>
      <c r="D36" s="124"/>
      <c r="E36" s="226"/>
      <c r="F36" s="124" t="s">
        <v>334</v>
      </c>
      <c r="G36" s="124" t="s">
        <v>335</v>
      </c>
      <c r="H36" s="123">
        <v>0.54500000000000004</v>
      </c>
    </row>
    <row r="37" spans="1:8" ht="30" customHeight="1" x14ac:dyDescent="0.35">
      <c r="A37" s="124"/>
      <c r="B37" s="124"/>
      <c r="C37" s="124"/>
      <c r="D37" s="124"/>
      <c r="E37" s="124"/>
      <c r="F37" s="124"/>
      <c r="G37" s="124"/>
      <c r="H37" s="123"/>
    </row>
  </sheetData>
  <mergeCells count="13">
    <mergeCell ref="A1:H2"/>
    <mergeCell ref="A4:A9"/>
    <mergeCell ref="A10:A15"/>
    <mergeCell ref="A30:A34"/>
    <mergeCell ref="A24:A29"/>
    <mergeCell ref="A20:A23"/>
    <mergeCell ref="A16:A19"/>
    <mergeCell ref="E27:E33"/>
    <mergeCell ref="E4:E9"/>
    <mergeCell ref="E10:E16"/>
    <mergeCell ref="E17:E19"/>
    <mergeCell ref="E20:E26"/>
    <mergeCell ref="E34:E36"/>
  </mergeCells>
  <conditionalFormatting sqref="F6:F10 H6:H10 F4:H4 B30:D34">
    <cfRule type="expression" dxfId="7" priority="3">
      <formula>#REF!=1</formula>
    </cfRule>
  </conditionalFormatting>
  <conditionalFormatting sqref="D4:D9">
    <cfRule type="expression" dxfId="6" priority="8">
      <formula>#REF!=1</formula>
    </cfRule>
  </conditionalFormatting>
  <conditionalFormatting sqref="B4:C9">
    <cfRule type="expression" dxfId="5" priority="7">
      <formula>#REF!=1</formula>
    </cfRule>
  </conditionalFormatting>
  <conditionalFormatting sqref="A4">
    <cfRule type="expression" dxfId="4" priority="6">
      <formula>#REF!=1</formula>
    </cfRule>
  </conditionalFormatting>
  <conditionalFormatting sqref="B10:B15">
    <cfRule type="expression" dxfId="3" priority="5">
      <formula>#REF!=1</formula>
    </cfRule>
  </conditionalFormatting>
  <conditionalFormatting sqref="D10:D15">
    <cfRule type="expression" dxfId="2" priority="4">
      <formula>#REF!=1</formula>
    </cfRule>
  </conditionalFormatting>
  <conditionalFormatting sqref="F5">
    <cfRule type="expression" dxfId="1" priority="2">
      <formula>#REF!=1</formula>
    </cfRule>
  </conditionalFormatting>
  <conditionalFormatting sqref="A30">
    <cfRule type="expression" dxfId="0" priority="1">
      <formula>#REF!=1</formula>
    </cfRule>
  </conditionalFormatting>
  <printOptions horizontalCentered="1"/>
  <pageMargins left="0.5" right="0.5" top="0.5" bottom="0.5" header="0.5" footer="0.5"/>
  <pageSetup scale="47" fitToHeight="0" orientation="landscape" r:id="rId1"/>
  <headerFooter differentFirst="1">
    <oddFoote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1B380-490B-44A7-9F1F-761A353067C2}">
  <sheetPr codeName="Sheet4">
    <tabColor theme="5" tint="-0.249977111117893"/>
    <pageSetUpPr fitToPage="1"/>
  </sheetPr>
  <dimension ref="A1:G56"/>
  <sheetViews>
    <sheetView topLeftCell="A30" zoomScale="80" zoomScaleNormal="80" zoomScalePageLayoutView="80" workbookViewId="0">
      <selection activeCell="N40" sqref="N40"/>
    </sheetView>
  </sheetViews>
  <sheetFormatPr defaultColWidth="9.1796875" defaultRowHeight="14.5" x14ac:dyDescent="0.35"/>
  <cols>
    <col min="1" max="1" width="26.81640625" customWidth="1"/>
    <col min="2" max="2" width="15" style="133" customWidth="1"/>
    <col min="3" max="3" width="18.26953125" customWidth="1"/>
    <col min="4" max="4" width="14.54296875" style="133" customWidth="1"/>
    <col min="5" max="5" width="43.7265625" style="133" customWidth="1"/>
    <col min="6" max="6" width="26.54296875" style="133" customWidth="1"/>
    <col min="7" max="7" width="66.453125" style="133" customWidth="1"/>
  </cols>
  <sheetData>
    <row r="1" spans="1:7" s="202" customFormat="1" ht="20.5" customHeight="1" x14ac:dyDescent="0.35">
      <c r="A1" s="241" t="s">
        <v>496</v>
      </c>
      <c r="B1" s="242"/>
      <c r="C1" s="242"/>
      <c r="D1" s="242"/>
      <c r="E1" s="242"/>
      <c r="F1" s="242"/>
      <c r="G1" s="243"/>
    </row>
    <row r="2" spans="1:7" ht="24.65" customHeight="1" x14ac:dyDescent="0.35">
      <c r="A2" s="201" t="s">
        <v>495</v>
      </c>
      <c r="B2" s="199" t="s">
        <v>494</v>
      </c>
      <c r="C2" s="200" t="s">
        <v>493</v>
      </c>
      <c r="D2" s="199" t="s">
        <v>492</v>
      </c>
      <c r="E2" s="199" t="s">
        <v>491</v>
      </c>
      <c r="F2" s="199" t="s">
        <v>490</v>
      </c>
      <c r="G2" s="198" t="s">
        <v>489</v>
      </c>
    </row>
    <row r="3" spans="1:7" ht="15" thickBot="1" x14ac:dyDescent="0.4">
      <c r="A3" s="249" t="s">
        <v>488</v>
      </c>
      <c r="B3" s="250"/>
      <c r="C3" s="250"/>
      <c r="D3" s="250"/>
      <c r="E3" s="250"/>
      <c r="F3" s="250"/>
      <c r="G3" s="251"/>
    </row>
    <row r="4" spans="1:7" ht="25.5" thickBot="1" x14ac:dyDescent="0.4">
      <c r="A4" s="197" t="s">
        <v>487</v>
      </c>
      <c r="B4" s="196" t="s">
        <v>486</v>
      </c>
      <c r="C4" s="196" t="s">
        <v>485</v>
      </c>
      <c r="D4" s="196" t="s">
        <v>397</v>
      </c>
      <c r="E4" s="196" t="s">
        <v>484</v>
      </c>
      <c r="F4" s="196" t="s">
        <v>483</v>
      </c>
      <c r="G4" s="155" t="s">
        <v>482</v>
      </c>
    </row>
    <row r="5" spans="1:7" ht="25.5" thickBot="1" x14ac:dyDescent="0.4">
      <c r="A5" s="153" t="s">
        <v>12</v>
      </c>
      <c r="B5" s="151" t="s">
        <v>481</v>
      </c>
      <c r="C5" s="151" t="s">
        <v>480</v>
      </c>
      <c r="D5" s="151" t="s">
        <v>397</v>
      </c>
      <c r="E5" s="151" t="s">
        <v>479</v>
      </c>
      <c r="F5" s="151" t="s">
        <v>478</v>
      </c>
      <c r="G5" s="195" t="s">
        <v>477</v>
      </c>
    </row>
    <row r="6" spans="1:7" ht="37.5" x14ac:dyDescent="0.35">
      <c r="A6" s="247" t="s">
        <v>18</v>
      </c>
      <c r="B6" s="141" t="s">
        <v>468</v>
      </c>
      <c r="C6" s="141" t="s">
        <v>476</v>
      </c>
      <c r="D6" s="141" t="s">
        <v>475</v>
      </c>
      <c r="E6" s="141" t="s">
        <v>474</v>
      </c>
      <c r="F6" s="230" t="s">
        <v>473</v>
      </c>
      <c r="G6" s="255" t="s">
        <v>472</v>
      </c>
    </row>
    <row r="7" spans="1:7" ht="50" x14ac:dyDescent="0.35">
      <c r="A7" s="248"/>
      <c r="B7" s="194" t="s">
        <v>471</v>
      </c>
      <c r="C7" s="194"/>
      <c r="D7" s="193" t="s">
        <v>470</v>
      </c>
      <c r="E7" s="193" t="s">
        <v>469</v>
      </c>
      <c r="F7" s="231"/>
      <c r="G7" s="256"/>
    </row>
    <row r="8" spans="1:7" ht="69" customHeight="1" thickBot="1" x14ac:dyDescent="0.4">
      <c r="A8" s="248"/>
      <c r="B8" s="173" t="s">
        <v>468</v>
      </c>
      <c r="C8" s="162" t="s">
        <v>467</v>
      </c>
      <c r="D8" s="162" t="s">
        <v>466</v>
      </c>
      <c r="E8" s="162" t="s">
        <v>465</v>
      </c>
      <c r="F8" s="231"/>
      <c r="G8" s="256"/>
    </row>
    <row r="9" spans="1:7" ht="15.65" customHeight="1" x14ac:dyDescent="0.35">
      <c r="A9" s="267" t="s">
        <v>464</v>
      </c>
      <c r="B9" s="233" t="s">
        <v>463</v>
      </c>
      <c r="C9" s="192" t="s">
        <v>35</v>
      </c>
      <c r="D9" s="192" t="s">
        <v>384</v>
      </c>
      <c r="E9" s="233" t="s">
        <v>462</v>
      </c>
      <c r="F9" s="151" t="s">
        <v>461</v>
      </c>
      <c r="G9" s="150" t="s">
        <v>460</v>
      </c>
    </row>
    <row r="10" spans="1:7" ht="15.65" customHeight="1" x14ac:dyDescent="0.35">
      <c r="A10" s="268"/>
      <c r="B10" s="234"/>
      <c r="C10" s="170" t="s">
        <v>459</v>
      </c>
      <c r="D10" s="170" t="s">
        <v>458</v>
      </c>
      <c r="E10" s="234"/>
      <c r="F10" s="190"/>
      <c r="G10" s="147" t="s">
        <v>457</v>
      </c>
    </row>
    <row r="11" spans="1:7" ht="15.65" customHeight="1" x14ac:dyDescent="0.35">
      <c r="A11" s="268"/>
      <c r="B11" s="234"/>
      <c r="C11" s="191" t="s">
        <v>456</v>
      </c>
      <c r="D11" s="191" t="s">
        <v>454</v>
      </c>
      <c r="E11" s="234"/>
      <c r="F11" s="190"/>
      <c r="G11" s="147" t="s">
        <v>349</v>
      </c>
    </row>
    <row r="12" spans="1:7" ht="15.65" customHeight="1" x14ac:dyDescent="0.35">
      <c r="A12" s="268"/>
      <c r="B12" s="234"/>
      <c r="C12" s="191" t="s">
        <v>455</v>
      </c>
      <c r="D12" s="191" t="s">
        <v>454</v>
      </c>
      <c r="E12" s="234"/>
      <c r="F12" s="190"/>
      <c r="G12" s="147"/>
    </row>
    <row r="13" spans="1:7" ht="15.65" customHeight="1" thickBot="1" x14ac:dyDescent="0.4">
      <c r="A13" s="269"/>
      <c r="B13" s="235"/>
      <c r="C13" s="166" t="s">
        <v>453</v>
      </c>
      <c r="D13" s="166" t="s">
        <v>452</v>
      </c>
      <c r="E13" s="235"/>
      <c r="F13" s="189"/>
      <c r="G13" s="144"/>
    </row>
    <row r="14" spans="1:7" ht="25.5" thickBot="1" x14ac:dyDescent="0.4">
      <c r="A14" s="143" t="s">
        <v>451</v>
      </c>
      <c r="B14" s="141" t="s">
        <v>450</v>
      </c>
      <c r="C14" s="141" t="s">
        <v>449</v>
      </c>
      <c r="D14" s="141" t="s">
        <v>384</v>
      </c>
      <c r="E14" s="141" t="s">
        <v>448</v>
      </c>
      <c r="F14" s="141" t="s">
        <v>447</v>
      </c>
      <c r="G14" s="140" t="s">
        <v>446</v>
      </c>
    </row>
    <row r="15" spans="1:7" ht="15.65" customHeight="1" x14ac:dyDescent="0.35">
      <c r="A15" s="153" t="s">
        <v>445</v>
      </c>
      <c r="B15" s="151" t="s">
        <v>444</v>
      </c>
      <c r="C15" s="188" t="s">
        <v>443</v>
      </c>
      <c r="D15" s="187" t="s">
        <v>425</v>
      </c>
      <c r="E15" s="186" t="s">
        <v>442</v>
      </c>
      <c r="F15" s="152" t="s">
        <v>441</v>
      </c>
      <c r="G15" s="185" t="s">
        <v>440</v>
      </c>
    </row>
    <row r="16" spans="1:7" ht="15.65" customHeight="1" x14ac:dyDescent="0.35">
      <c r="A16" s="149"/>
      <c r="B16" s="148"/>
      <c r="C16" s="184" t="s">
        <v>439</v>
      </c>
      <c r="D16" s="183" t="s">
        <v>430</v>
      </c>
      <c r="E16" s="252" t="s">
        <v>438</v>
      </c>
      <c r="F16" s="148"/>
      <c r="G16" s="182" t="s">
        <v>437</v>
      </c>
    </row>
    <row r="17" spans="1:7" ht="15.65" customHeight="1" x14ac:dyDescent="0.35">
      <c r="A17" s="149"/>
      <c r="B17" s="148"/>
      <c r="C17" s="184" t="s">
        <v>436</v>
      </c>
      <c r="D17" s="183" t="s">
        <v>412</v>
      </c>
      <c r="E17" s="252"/>
      <c r="F17" s="148"/>
      <c r="G17" s="182" t="s">
        <v>435</v>
      </c>
    </row>
    <row r="18" spans="1:7" ht="15.65" customHeight="1" x14ac:dyDescent="0.35">
      <c r="A18" s="149"/>
      <c r="B18" s="148"/>
      <c r="C18" s="184" t="s">
        <v>434</v>
      </c>
      <c r="D18" s="183" t="s">
        <v>430</v>
      </c>
      <c r="E18" s="252"/>
      <c r="F18" s="148"/>
      <c r="G18" s="254" t="s">
        <v>433</v>
      </c>
    </row>
    <row r="19" spans="1:7" ht="15.65" customHeight="1" x14ac:dyDescent="0.35">
      <c r="A19" s="149"/>
      <c r="B19" s="148"/>
      <c r="C19" s="184" t="s">
        <v>432</v>
      </c>
      <c r="D19" s="183" t="s">
        <v>412</v>
      </c>
      <c r="E19" s="252"/>
      <c r="F19" s="148"/>
      <c r="G19" s="254"/>
    </row>
    <row r="20" spans="1:7" ht="15.65" customHeight="1" x14ac:dyDescent="0.35">
      <c r="A20" s="149"/>
      <c r="B20" s="148"/>
      <c r="C20" s="184" t="s">
        <v>431</v>
      </c>
      <c r="D20" s="183" t="s">
        <v>430</v>
      </c>
      <c r="E20" s="252"/>
      <c r="F20" s="148"/>
      <c r="G20" s="182" t="s">
        <v>429</v>
      </c>
    </row>
    <row r="21" spans="1:7" ht="15.65" customHeight="1" x14ac:dyDescent="0.35">
      <c r="A21" s="149"/>
      <c r="B21" s="148"/>
      <c r="C21" s="184" t="s">
        <v>428</v>
      </c>
      <c r="D21" s="183" t="s">
        <v>412</v>
      </c>
      <c r="E21" s="252"/>
      <c r="F21" s="148"/>
      <c r="G21" s="182" t="s">
        <v>427</v>
      </c>
    </row>
    <row r="22" spans="1:7" ht="15.65" customHeight="1" x14ac:dyDescent="0.35">
      <c r="A22" s="149"/>
      <c r="B22" s="148"/>
      <c r="C22" s="184" t="s">
        <v>426</v>
      </c>
      <c r="D22" s="183" t="s">
        <v>425</v>
      </c>
      <c r="E22" s="252"/>
      <c r="F22" s="148"/>
      <c r="G22" s="182" t="s">
        <v>424</v>
      </c>
    </row>
    <row r="23" spans="1:7" ht="15.65" customHeight="1" x14ac:dyDescent="0.35">
      <c r="A23" s="149"/>
      <c r="B23" s="148"/>
      <c r="C23" s="170" t="s">
        <v>423</v>
      </c>
      <c r="D23" s="170" t="s">
        <v>422</v>
      </c>
      <c r="E23" s="252"/>
      <c r="F23" s="148"/>
      <c r="G23" s="182" t="s">
        <v>349</v>
      </c>
    </row>
    <row r="24" spans="1:7" ht="15.65" customHeight="1" thickBot="1" x14ac:dyDescent="0.4">
      <c r="A24" s="181"/>
      <c r="B24" s="145"/>
      <c r="C24" s="180" t="s">
        <v>421</v>
      </c>
      <c r="D24" s="179" t="s">
        <v>409</v>
      </c>
      <c r="E24" s="253"/>
      <c r="F24" s="145"/>
      <c r="G24" s="178"/>
    </row>
    <row r="25" spans="1:7" ht="15.65" customHeight="1" x14ac:dyDescent="0.35">
      <c r="A25" s="143" t="s">
        <v>420</v>
      </c>
      <c r="B25" s="164" t="s">
        <v>419</v>
      </c>
      <c r="C25" s="164" t="s">
        <v>418</v>
      </c>
      <c r="D25" s="164" t="s">
        <v>412</v>
      </c>
      <c r="E25" s="230" t="s">
        <v>417</v>
      </c>
      <c r="F25" s="177" t="s">
        <v>416</v>
      </c>
      <c r="G25" s="140" t="s">
        <v>415</v>
      </c>
    </row>
    <row r="26" spans="1:7" ht="15.65" customHeight="1" x14ac:dyDescent="0.35">
      <c r="A26" s="176"/>
      <c r="B26" s="162" t="s">
        <v>414</v>
      </c>
      <c r="C26" s="162" t="s">
        <v>413</v>
      </c>
      <c r="D26" s="162" t="s">
        <v>412</v>
      </c>
      <c r="E26" s="231"/>
      <c r="F26" s="175"/>
      <c r="G26" s="157" t="s">
        <v>349</v>
      </c>
    </row>
    <row r="27" spans="1:7" ht="15.65" customHeight="1" thickBot="1" x14ac:dyDescent="0.4">
      <c r="A27" s="174"/>
      <c r="B27" s="173" t="s">
        <v>411</v>
      </c>
      <c r="C27" s="173" t="s">
        <v>410</v>
      </c>
      <c r="D27" s="173" t="s">
        <v>409</v>
      </c>
      <c r="E27" s="232"/>
      <c r="F27" s="172"/>
      <c r="G27" s="155"/>
    </row>
    <row r="28" spans="1:7" ht="15" thickBot="1" x14ac:dyDescent="0.4">
      <c r="A28" s="276" t="s">
        <v>408</v>
      </c>
      <c r="B28" s="277"/>
      <c r="C28" s="277"/>
      <c r="D28" s="277"/>
      <c r="E28" s="277"/>
      <c r="F28" s="277"/>
      <c r="G28" s="278"/>
    </row>
    <row r="29" spans="1:7" ht="55.15" customHeight="1" x14ac:dyDescent="0.35">
      <c r="A29" s="257" t="s">
        <v>407</v>
      </c>
      <c r="B29" s="227" t="s">
        <v>406</v>
      </c>
      <c r="C29" s="171" t="s">
        <v>405</v>
      </c>
      <c r="D29" s="170" t="s">
        <v>384</v>
      </c>
      <c r="E29" s="171" t="s">
        <v>404</v>
      </c>
      <c r="F29" s="282" t="s">
        <v>403</v>
      </c>
      <c r="G29" s="260" t="s">
        <v>402</v>
      </c>
    </row>
    <row r="30" spans="1:7" ht="75" x14ac:dyDescent="0.35">
      <c r="A30" s="258"/>
      <c r="B30" s="228"/>
      <c r="C30" s="169" t="s">
        <v>401</v>
      </c>
      <c r="D30" s="170" t="s">
        <v>384</v>
      </c>
      <c r="E30" s="169" t="s">
        <v>400</v>
      </c>
      <c r="F30" s="283"/>
      <c r="G30" s="261"/>
    </row>
    <row r="31" spans="1:7" ht="46.15" customHeight="1" x14ac:dyDescent="0.35">
      <c r="A31" s="258"/>
      <c r="B31" s="228"/>
      <c r="C31" s="169" t="s">
        <v>385</v>
      </c>
      <c r="D31" s="148" t="s">
        <v>384</v>
      </c>
      <c r="E31" s="168" t="s">
        <v>399</v>
      </c>
      <c r="F31" s="283"/>
      <c r="G31" s="261"/>
    </row>
    <row r="32" spans="1:7" ht="46.15" customHeight="1" thickBot="1" x14ac:dyDescent="0.4">
      <c r="A32" s="259"/>
      <c r="B32" s="229"/>
      <c r="C32" s="167" t="s">
        <v>398</v>
      </c>
      <c r="D32" s="166" t="s">
        <v>397</v>
      </c>
      <c r="E32" s="165" t="s">
        <v>396</v>
      </c>
      <c r="F32" s="284"/>
      <c r="G32" s="262"/>
    </row>
    <row r="33" spans="1:7" ht="15" thickBot="1" x14ac:dyDescent="0.4">
      <c r="A33" s="238" t="s">
        <v>395</v>
      </c>
      <c r="B33" s="239"/>
      <c r="C33" s="239"/>
      <c r="D33" s="239"/>
      <c r="E33" s="239"/>
      <c r="F33" s="239"/>
      <c r="G33" s="240"/>
    </row>
    <row r="34" spans="1:7" x14ac:dyDescent="0.35">
      <c r="A34" s="247" t="s">
        <v>394</v>
      </c>
      <c r="B34" s="230" t="s">
        <v>370</v>
      </c>
      <c r="C34" s="164" t="s">
        <v>393</v>
      </c>
      <c r="D34" s="141" t="s">
        <v>384</v>
      </c>
      <c r="E34" s="244" t="s">
        <v>392</v>
      </c>
      <c r="F34" s="244" t="s">
        <v>391</v>
      </c>
      <c r="G34" s="279" t="s">
        <v>390</v>
      </c>
    </row>
    <row r="35" spans="1:7" x14ac:dyDescent="0.35">
      <c r="A35" s="248"/>
      <c r="B35" s="231"/>
      <c r="C35" s="163" t="s">
        <v>389</v>
      </c>
      <c r="D35" s="156"/>
      <c r="E35" s="245"/>
      <c r="F35" s="245"/>
      <c r="G35" s="280"/>
    </row>
    <row r="36" spans="1:7" ht="15" thickBot="1" x14ac:dyDescent="0.4">
      <c r="A36" s="266"/>
      <c r="B36" s="232"/>
      <c r="C36" s="162" t="s">
        <v>388</v>
      </c>
      <c r="D36" s="156"/>
      <c r="E36" s="246"/>
      <c r="F36" s="246"/>
      <c r="G36" s="281"/>
    </row>
    <row r="37" spans="1:7" ht="25.5" thickBot="1" x14ac:dyDescent="0.4">
      <c r="A37" s="161" t="s">
        <v>387</v>
      </c>
      <c r="B37" s="160" t="s">
        <v>386</v>
      </c>
      <c r="C37" s="159" t="s">
        <v>385</v>
      </c>
      <c r="D37" s="160" t="s">
        <v>384</v>
      </c>
      <c r="E37" s="159" t="s">
        <v>383</v>
      </c>
      <c r="F37" s="159" t="s">
        <v>382</v>
      </c>
      <c r="G37" s="158" t="s">
        <v>381</v>
      </c>
    </row>
    <row r="38" spans="1:7" ht="15" customHeight="1" thickBot="1" x14ac:dyDescent="0.4">
      <c r="A38" s="263" t="s">
        <v>380</v>
      </c>
      <c r="B38" s="264"/>
      <c r="C38" s="264"/>
      <c r="D38" s="264"/>
      <c r="E38" s="264"/>
      <c r="F38" s="264"/>
      <c r="G38" s="265"/>
    </row>
    <row r="39" spans="1:7" ht="15" customHeight="1" x14ac:dyDescent="0.35">
      <c r="A39" s="247" t="s">
        <v>379</v>
      </c>
      <c r="B39" s="141" t="s">
        <v>378</v>
      </c>
      <c r="C39" s="142" t="s">
        <v>377</v>
      </c>
      <c r="D39" s="141" t="s">
        <v>339</v>
      </c>
      <c r="E39" s="230" t="s">
        <v>376</v>
      </c>
      <c r="F39" s="236"/>
      <c r="G39" s="140" t="s">
        <v>375</v>
      </c>
    </row>
    <row r="40" spans="1:7" ht="14.5" customHeight="1" x14ac:dyDescent="0.35">
      <c r="A40" s="248"/>
      <c r="B40" s="156"/>
      <c r="C40" s="156"/>
      <c r="D40" s="156"/>
      <c r="E40" s="231"/>
      <c r="F40" s="237"/>
      <c r="G40" s="157" t="s">
        <v>374</v>
      </c>
    </row>
    <row r="41" spans="1:7" x14ac:dyDescent="0.35">
      <c r="A41" s="248"/>
      <c r="B41" s="156"/>
      <c r="C41" s="156"/>
      <c r="D41" s="156"/>
      <c r="E41" s="231"/>
      <c r="F41" s="237"/>
      <c r="G41" s="157" t="s">
        <v>373</v>
      </c>
    </row>
    <row r="42" spans="1:7" ht="13.5" customHeight="1" x14ac:dyDescent="0.35">
      <c r="A42" s="248"/>
      <c r="B42" s="156"/>
      <c r="C42" s="156"/>
      <c r="D42" s="156"/>
      <c r="E42" s="231"/>
      <c r="F42" s="237"/>
      <c r="G42" s="157" t="s">
        <v>372</v>
      </c>
    </row>
    <row r="43" spans="1:7" ht="15" customHeight="1" thickBot="1" x14ac:dyDescent="0.4">
      <c r="A43" s="248"/>
      <c r="B43" s="156"/>
      <c r="C43" s="156"/>
      <c r="D43" s="156"/>
      <c r="E43" s="232"/>
      <c r="F43" s="237"/>
      <c r="G43" s="155" t="s">
        <v>349</v>
      </c>
    </row>
    <row r="44" spans="1:7" ht="15" customHeight="1" x14ac:dyDescent="0.35">
      <c r="A44" s="267" t="s">
        <v>371</v>
      </c>
      <c r="B44" s="273" t="s">
        <v>370</v>
      </c>
      <c r="C44" s="151" t="s">
        <v>369</v>
      </c>
      <c r="D44" s="151" t="s">
        <v>339</v>
      </c>
      <c r="E44" s="227" t="s">
        <v>368</v>
      </c>
      <c r="F44" s="233" t="s">
        <v>367</v>
      </c>
      <c r="G44" s="147" t="s">
        <v>366</v>
      </c>
    </row>
    <row r="45" spans="1:7" ht="15" customHeight="1" x14ac:dyDescent="0.35">
      <c r="A45" s="268"/>
      <c r="B45" s="274"/>
      <c r="C45" s="148"/>
      <c r="D45" s="148"/>
      <c r="E45" s="228"/>
      <c r="F45" s="234"/>
      <c r="G45" s="147" t="s">
        <v>365</v>
      </c>
    </row>
    <row r="46" spans="1:7" ht="15" customHeight="1" thickBot="1" x14ac:dyDescent="0.4">
      <c r="A46" s="269"/>
      <c r="B46" s="275"/>
      <c r="C46" s="145"/>
      <c r="D46" s="145"/>
      <c r="E46" s="229"/>
      <c r="F46" s="235"/>
      <c r="G46" s="144" t="s">
        <v>349</v>
      </c>
    </row>
    <row r="47" spans="1:7" ht="38" thickBot="1" x14ac:dyDescent="0.4">
      <c r="A47" s="139" t="s">
        <v>364</v>
      </c>
      <c r="B47" s="137" t="s">
        <v>363</v>
      </c>
      <c r="C47" s="137" t="s">
        <v>362</v>
      </c>
      <c r="D47" s="137" t="s">
        <v>339</v>
      </c>
      <c r="E47" s="137" t="s">
        <v>361</v>
      </c>
      <c r="F47" s="154"/>
      <c r="G47" s="136" t="s">
        <v>360</v>
      </c>
    </row>
    <row r="48" spans="1:7" ht="15" thickBot="1" x14ac:dyDescent="0.4">
      <c r="A48" s="270" t="s">
        <v>359</v>
      </c>
      <c r="B48" s="271"/>
      <c r="C48" s="271"/>
      <c r="D48" s="271"/>
      <c r="E48" s="271"/>
      <c r="F48" s="271"/>
      <c r="G48" s="272"/>
    </row>
    <row r="49" spans="1:7" ht="16.899999999999999" customHeight="1" x14ac:dyDescent="0.35">
      <c r="A49" s="153" t="s">
        <v>358</v>
      </c>
      <c r="B49" s="151" t="s">
        <v>357</v>
      </c>
      <c r="C49" s="152" t="s">
        <v>356</v>
      </c>
      <c r="D49" s="151" t="s">
        <v>339</v>
      </c>
      <c r="E49" s="233" t="s">
        <v>355</v>
      </c>
      <c r="F49" s="227" t="s">
        <v>354</v>
      </c>
      <c r="G49" s="150" t="s">
        <v>353</v>
      </c>
    </row>
    <row r="50" spans="1:7" ht="16.899999999999999" customHeight="1" x14ac:dyDescent="0.35">
      <c r="A50" s="149"/>
      <c r="B50" s="148"/>
      <c r="C50" s="148"/>
      <c r="D50" s="148"/>
      <c r="E50" s="234"/>
      <c r="F50" s="228"/>
      <c r="G50" s="147" t="s">
        <v>352</v>
      </c>
    </row>
    <row r="51" spans="1:7" ht="16.899999999999999" customHeight="1" x14ac:dyDescent="0.35">
      <c r="A51" s="149"/>
      <c r="B51" s="148"/>
      <c r="C51" s="148"/>
      <c r="D51" s="148"/>
      <c r="E51" s="234"/>
      <c r="F51" s="228"/>
      <c r="G51" s="147" t="s">
        <v>351</v>
      </c>
    </row>
    <row r="52" spans="1:7" ht="16.899999999999999" customHeight="1" x14ac:dyDescent="0.35">
      <c r="A52" s="149"/>
      <c r="B52" s="148"/>
      <c r="C52" s="148"/>
      <c r="D52" s="148"/>
      <c r="E52" s="234"/>
      <c r="F52" s="228"/>
      <c r="G52" s="147" t="s">
        <v>350</v>
      </c>
    </row>
    <row r="53" spans="1:7" ht="16.899999999999999" customHeight="1" thickBot="1" x14ac:dyDescent="0.4">
      <c r="A53" s="146"/>
      <c r="B53" s="145"/>
      <c r="C53" s="145"/>
      <c r="D53" s="145"/>
      <c r="E53" s="235"/>
      <c r="F53" s="229"/>
      <c r="G53" s="144" t="s">
        <v>349</v>
      </c>
    </row>
    <row r="54" spans="1:7" ht="63" thickBot="1" x14ac:dyDescent="0.4">
      <c r="A54" s="143" t="s">
        <v>348</v>
      </c>
      <c r="B54" s="141" t="s">
        <v>347</v>
      </c>
      <c r="C54" s="142" t="s">
        <v>346</v>
      </c>
      <c r="D54" s="141" t="s">
        <v>339</v>
      </c>
      <c r="E54" s="141" t="s">
        <v>345</v>
      </c>
      <c r="F54" s="141" t="s">
        <v>344</v>
      </c>
      <c r="G54" s="140" t="s">
        <v>343</v>
      </c>
    </row>
    <row r="55" spans="1:7" ht="38" thickBot="1" x14ac:dyDescent="0.4">
      <c r="A55" s="139" t="s">
        <v>342</v>
      </c>
      <c r="B55" s="137" t="s">
        <v>341</v>
      </c>
      <c r="C55" s="138" t="s">
        <v>340</v>
      </c>
      <c r="D55" s="137" t="s">
        <v>339</v>
      </c>
      <c r="E55" s="137" t="s">
        <v>338</v>
      </c>
      <c r="F55" s="137" t="s">
        <v>337</v>
      </c>
      <c r="G55" s="136" t="s">
        <v>336</v>
      </c>
    </row>
    <row r="56" spans="1:7" x14ac:dyDescent="0.35">
      <c r="A56" s="135"/>
      <c r="B56" s="134"/>
      <c r="C56" s="135"/>
      <c r="D56" s="134"/>
      <c r="E56" s="134"/>
      <c r="F56" s="134"/>
      <c r="G56" s="134"/>
    </row>
  </sheetData>
  <mergeCells count="33">
    <mergeCell ref="F49:F53"/>
    <mergeCell ref="A9:A13"/>
    <mergeCell ref="F44:F46"/>
    <mergeCell ref="E44:E46"/>
    <mergeCell ref="A48:G48"/>
    <mergeCell ref="E49:E53"/>
    <mergeCell ref="B44:B46"/>
    <mergeCell ref="A44:A46"/>
    <mergeCell ref="A28:G28"/>
    <mergeCell ref="G34:G36"/>
    <mergeCell ref="E25:E27"/>
    <mergeCell ref="F29:F32"/>
    <mergeCell ref="A1:G1"/>
    <mergeCell ref="F34:F36"/>
    <mergeCell ref="E34:E36"/>
    <mergeCell ref="A6:A8"/>
    <mergeCell ref="A3:G3"/>
    <mergeCell ref="B34:B36"/>
    <mergeCell ref="E16:E24"/>
    <mergeCell ref="G18:G19"/>
    <mergeCell ref="F6:F8"/>
    <mergeCell ref="G6:G8"/>
    <mergeCell ref="A29:A32"/>
    <mergeCell ref="G29:G32"/>
    <mergeCell ref="B9:B13"/>
    <mergeCell ref="A34:A36"/>
    <mergeCell ref="B29:B32"/>
    <mergeCell ref="E39:E43"/>
    <mergeCell ref="E9:E13"/>
    <mergeCell ref="F39:F43"/>
    <mergeCell ref="A33:G33"/>
    <mergeCell ref="A39:A43"/>
    <mergeCell ref="A38:G38"/>
  </mergeCells>
  <printOptions horizontalCentered="1"/>
  <pageMargins left="0.25" right="0.25" top="0.5" bottom="0.5" header="0.3" footer="0.3"/>
  <pageSetup scale="63" fitToHeight="0" orientation="landscape" r:id="rId1"/>
  <headerFooter>
    <oddHeader>&amp;C&amp;"-,Bold"&amp;16 2017 QUALITY CARE MEASURE SUMMARY GUIDELINES</oddHeader>
  </headerFooter>
  <rowBreaks count="1" manualBreakCount="1">
    <brk id="3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CE41A-E9AB-405C-AF92-EF9E7D2DEC12}">
  <sheetPr codeName="Sheet5">
    <pageSetUpPr fitToPage="1"/>
  </sheetPr>
  <dimension ref="A1:G56"/>
  <sheetViews>
    <sheetView zoomScale="80" zoomScaleNormal="80" zoomScalePageLayoutView="80" workbookViewId="0">
      <selection activeCell="C46" sqref="C46"/>
    </sheetView>
  </sheetViews>
  <sheetFormatPr defaultColWidth="9.1796875" defaultRowHeight="14.5" x14ac:dyDescent="0.35"/>
  <cols>
    <col min="1" max="1" width="26.81640625" customWidth="1"/>
    <col min="2" max="2" width="15" style="133" customWidth="1"/>
    <col min="3" max="3" width="15.26953125" bestFit="1" customWidth="1"/>
    <col min="4" max="4" width="14.54296875" style="133" customWidth="1"/>
    <col min="5" max="5" width="43.7265625" style="133" customWidth="1"/>
    <col min="6" max="6" width="32.26953125" style="133" customWidth="1"/>
    <col min="7" max="7" width="66.453125" style="133" customWidth="1"/>
  </cols>
  <sheetData>
    <row r="1" spans="1:7" s="202" customFormat="1" ht="20.5" customHeight="1" x14ac:dyDescent="0.35">
      <c r="A1" s="241" t="s">
        <v>496</v>
      </c>
      <c r="B1" s="242"/>
      <c r="C1" s="242"/>
      <c r="D1" s="242"/>
      <c r="E1" s="242"/>
      <c r="F1" s="242"/>
      <c r="G1" s="243"/>
    </row>
    <row r="2" spans="1:7" ht="24.65" customHeight="1" x14ac:dyDescent="0.35">
      <c r="A2" s="201" t="s">
        <v>495</v>
      </c>
      <c r="B2" s="199" t="s">
        <v>494</v>
      </c>
      <c r="C2" s="200" t="s">
        <v>493</v>
      </c>
      <c r="D2" s="199" t="s">
        <v>492</v>
      </c>
      <c r="E2" s="199" t="s">
        <v>560</v>
      </c>
      <c r="F2" s="199" t="s">
        <v>559</v>
      </c>
      <c r="G2" s="198" t="s">
        <v>489</v>
      </c>
    </row>
    <row r="3" spans="1:7" ht="15" thickBot="1" x14ac:dyDescent="0.4">
      <c r="A3" s="249" t="s">
        <v>488</v>
      </c>
      <c r="B3" s="250"/>
      <c r="C3" s="250"/>
      <c r="D3" s="250"/>
      <c r="E3" s="250"/>
      <c r="F3" s="250"/>
      <c r="G3" s="251"/>
    </row>
    <row r="4" spans="1:7" ht="288" customHeight="1" thickBot="1" x14ac:dyDescent="0.4">
      <c r="A4" s="197" t="s">
        <v>487</v>
      </c>
      <c r="B4" s="196" t="s">
        <v>486</v>
      </c>
      <c r="C4" s="196" t="s">
        <v>485</v>
      </c>
      <c r="D4" s="196" t="s">
        <v>397</v>
      </c>
      <c r="E4" s="196" t="s">
        <v>558</v>
      </c>
      <c r="F4" s="196" t="s">
        <v>557</v>
      </c>
      <c r="G4" s="155" t="s">
        <v>556</v>
      </c>
    </row>
    <row r="5" spans="1:7" ht="151" thickBot="1" x14ac:dyDescent="0.4">
      <c r="A5" s="153" t="s">
        <v>12</v>
      </c>
      <c r="B5" s="151" t="s">
        <v>481</v>
      </c>
      <c r="C5" s="151" t="s">
        <v>480</v>
      </c>
      <c r="D5" s="151" t="s">
        <v>397</v>
      </c>
      <c r="E5" s="151" t="s">
        <v>555</v>
      </c>
      <c r="F5" s="151" t="s">
        <v>554</v>
      </c>
      <c r="G5" s="195" t="s">
        <v>553</v>
      </c>
    </row>
    <row r="6" spans="1:7" ht="100" x14ac:dyDescent="0.35">
      <c r="A6" s="247" t="s">
        <v>18</v>
      </c>
      <c r="B6" s="141" t="s">
        <v>468</v>
      </c>
      <c r="C6" s="141" t="s">
        <v>476</v>
      </c>
      <c r="D6" s="141" t="s">
        <v>475</v>
      </c>
      <c r="E6" s="141" t="s">
        <v>552</v>
      </c>
      <c r="F6" s="230" t="s">
        <v>551</v>
      </c>
      <c r="G6" s="255" t="s">
        <v>550</v>
      </c>
    </row>
    <row r="7" spans="1:7" ht="50" x14ac:dyDescent="0.35">
      <c r="A7" s="248"/>
      <c r="B7" s="194" t="s">
        <v>471</v>
      </c>
      <c r="C7" s="194"/>
      <c r="D7" s="193" t="s">
        <v>470</v>
      </c>
      <c r="E7" s="209" t="s">
        <v>549</v>
      </c>
      <c r="F7" s="231"/>
      <c r="G7" s="256"/>
    </row>
    <row r="8" spans="1:7" ht="182.5" customHeight="1" thickBot="1" x14ac:dyDescent="0.4">
      <c r="A8" s="266"/>
      <c r="B8" s="173" t="s">
        <v>468</v>
      </c>
      <c r="C8" s="173" t="s">
        <v>467</v>
      </c>
      <c r="D8" s="173" t="s">
        <v>466</v>
      </c>
      <c r="E8" s="173" t="s">
        <v>548</v>
      </c>
      <c r="F8" s="232"/>
      <c r="G8" s="285"/>
    </row>
    <row r="9" spans="1:7" ht="37.5" x14ac:dyDescent="0.35">
      <c r="A9" s="267" t="s">
        <v>464</v>
      </c>
      <c r="B9" s="233" t="s">
        <v>463</v>
      </c>
      <c r="C9" s="192" t="s">
        <v>35</v>
      </c>
      <c r="D9" s="192" t="s">
        <v>384</v>
      </c>
      <c r="E9" s="151" t="s">
        <v>547</v>
      </c>
      <c r="F9" s="227" t="s">
        <v>546</v>
      </c>
      <c r="G9" s="260" t="s">
        <v>545</v>
      </c>
    </row>
    <row r="10" spans="1:7" ht="37.5" x14ac:dyDescent="0.35">
      <c r="A10" s="268"/>
      <c r="B10" s="234"/>
      <c r="C10" s="170" t="s">
        <v>459</v>
      </c>
      <c r="D10" s="170" t="s">
        <v>458</v>
      </c>
      <c r="E10" s="170" t="s">
        <v>544</v>
      </c>
      <c r="F10" s="228"/>
      <c r="G10" s="261"/>
    </row>
    <row r="11" spans="1:7" ht="25" x14ac:dyDescent="0.35">
      <c r="A11" s="268"/>
      <c r="B11" s="234"/>
      <c r="C11" s="191" t="s">
        <v>456</v>
      </c>
      <c r="D11" s="191" t="s">
        <v>454</v>
      </c>
      <c r="E11" s="170" t="s">
        <v>543</v>
      </c>
      <c r="F11" s="228"/>
      <c r="G11" s="261"/>
    </row>
    <row r="12" spans="1:7" ht="15.65" customHeight="1" x14ac:dyDescent="0.35">
      <c r="A12" s="268"/>
      <c r="B12" s="234"/>
      <c r="C12" s="191" t="s">
        <v>455</v>
      </c>
      <c r="D12" s="191" t="s">
        <v>454</v>
      </c>
      <c r="E12" s="208">
        <v>74263</v>
      </c>
      <c r="F12" s="228"/>
      <c r="G12" s="261"/>
    </row>
    <row r="13" spans="1:7" ht="25.5" thickBot="1" x14ac:dyDescent="0.4">
      <c r="A13" s="269"/>
      <c r="B13" s="235"/>
      <c r="C13" s="166" t="s">
        <v>453</v>
      </c>
      <c r="D13" s="166" t="s">
        <v>452</v>
      </c>
      <c r="E13" s="189" t="s">
        <v>542</v>
      </c>
      <c r="F13" s="229"/>
      <c r="G13" s="262"/>
    </row>
    <row r="14" spans="1:7" ht="326.5" customHeight="1" thickBot="1" x14ac:dyDescent="0.4">
      <c r="A14" s="139" t="s">
        <v>451</v>
      </c>
      <c r="B14" s="137" t="s">
        <v>450</v>
      </c>
      <c r="C14" s="137" t="s">
        <v>449</v>
      </c>
      <c r="D14" s="137" t="s">
        <v>384</v>
      </c>
      <c r="E14" s="137" t="s">
        <v>541</v>
      </c>
      <c r="F14" s="137" t="s">
        <v>540</v>
      </c>
      <c r="G14" s="136" t="s">
        <v>539</v>
      </c>
    </row>
    <row r="15" spans="1:7" ht="15.65" customHeight="1" x14ac:dyDescent="0.35">
      <c r="A15" s="153" t="s">
        <v>445</v>
      </c>
      <c r="B15" s="151" t="s">
        <v>444</v>
      </c>
      <c r="C15" s="188" t="s">
        <v>443</v>
      </c>
      <c r="D15" s="187" t="s">
        <v>425</v>
      </c>
      <c r="E15" s="186" t="s">
        <v>538</v>
      </c>
      <c r="F15" s="152" t="s">
        <v>441</v>
      </c>
      <c r="G15" s="260" t="s">
        <v>537</v>
      </c>
    </row>
    <row r="16" spans="1:7" ht="15.65" customHeight="1" x14ac:dyDescent="0.35">
      <c r="A16" s="149"/>
      <c r="B16" s="148"/>
      <c r="C16" s="184" t="s">
        <v>439</v>
      </c>
      <c r="D16" s="183" t="s">
        <v>430</v>
      </c>
      <c r="E16" s="207" t="s">
        <v>536</v>
      </c>
      <c r="F16" s="148"/>
      <c r="G16" s="261"/>
    </row>
    <row r="17" spans="1:7" ht="201.65" customHeight="1" x14ac:dyDescent="0.35">
      <c r="A17" s="149"/>
      <c r="B17" s="148"/>
      <c r="C17" s="184" t="s">
        <v>436</v>
      </c>
      <c r="D17" s="183" t="s">
        <v>412</v>
      </c>
      <c r="E17" s="207" t="s">
        <v>535</v>
      </c>
      <c r="F17" s="148"/>
      <c r="G17" s="261"/>
    </row>
    <row r="18" spans="1:7" ht="15.65" customHeight="1" x14ac:dyDescent="0.35">
      <c r="A18" s="149"/>
      <c r="B18" s="148"/>
      <c r="C18" s="184" t="s">
        <v>434</v>
      </c>
      <c r="D18" s="183" t="s">
        <v>430</v>
      </c>
      <c r="E18" s="207" t="s">
        <v>534</v>
      </c>
      <c r="F18" s="148"/>
      <c r="G18" s="261"/>
    </row>
    <row r="19" spans="1:7" ht="25" x14ac:dyDescent="0.35">
      <c r="A19" s="149"/>
      <c r="B19" s="148"/>
      <c r="C19" s="184" t="s">
        <v>432</v>
      </c>
      <c r="D19" s="183" t="s">
        <v>412</v>
      </c>
      <c r="E19" s="207" t="s">
        <v>533</v>
      </c>
      <c r="F19" s="148"/>
      <c r="G19" s="261"/>
    </row>
    <row r="20" spans="1:7" ht="42.65" customHeight="1" x14ac:dyDescent="0.35">
      <c r="A20" s="149"/>
      <c r="B20" s="148"/>
      <c r="C20" s="184" t="s">
        <v>431</v>
      </c>
      <c r="D20" s="183" t="s">
        <v>430</v>
      </c>
      <c r="E20" s="207" t="s">
        <v>532</v>
      </c>
      <c r="F20" s="148"/>
      <c r="G20" s="261"/>
    </row>
    <row r="21" spans="1:7" ht="62.5" x14ac:dyDescent="0.35">
      <c r="A21" s="149"/>
      <c r="B21" s="148"/>
      <c r="C21" s="184" t="s">
        <v>428</v>
      </c>
      <c r="D21" s="183" t="s">
        <v>412</v>
      </c>
      <c r="E21" s="207" t="s">
        <v>531</v>
      </c>
      <c r="F21" s="148"/>
      <c r="G21" s="261"/>
    </row>
    <row r="22" spans="1:7" ht="15.65" customHeight="1" x14ac:dyDescent="0.35">
      <c r="A22" s="149"/>
      <c r="B22" s="148"/>
      <c r="C22" s="184" t="s">
        <v>426</v>
      </c>
      <c r="D22" s="183" t="s">
        <v>425</v>
      </c>
      <c r="E22" s="207" t="s">
        <v>530</v>
      </c>
      <c r="F22" s="148"/>
      <c r="G22" s="261"/>
    </row>
    <row r="23" spans="1:7" ht="25" x14ac:dyDescent="0.35">
      <c r="A23" s="149"/>
      <c r="B23" s="148"/>
      <c r="C23" s="170" t="s">
        <v>423</v>
      </c>
      <c r="D23" s="170" t="s">
        <v>422</v>
      </c>
      <c r="E23" s="207" t="s">
        <v>529</v>
      </c>
      <c r="F23" s="148"/>
      <c r="G23" s="261"/>
    </row>
    <row r="24" spans="1:7" ht="25.5" thickBot="1" x14ac:dyDescent="0.4">
      <c r="A24" s="181"/>
      <c r="B24" s="145"/>
      <c r="C24" s="180" t="s">
        <v>421</v>
      </c>
      <c r="D24" s="179" t="s">
        <v>409</v>
      </c>
      <c r="E24" s="206" t="s">
        <v>528</v>
      </c>
      <c r="F24" s="145"/>
      <c r="G24" s="262"/>
    </row>
    <row r="25" spans="1:7" ht="15.65" customHeight="1" x14ac:dyDescent="0.35">
      <c r="A25" s="143" t="s">
        <v>420</v>
      </c>
      <c r="B25" s="164" t="s">
        <v>419</v>
      </c>
      <c r="C25" s="164" t="s">
        <v>418</v>
      </c>
      <c r="D25" s="164" t="s">
        <v>412</v>
      </c>
      <c r="E25" s="205">
        <v>90715</v>
      </c>
      <c r="F25" s="177" t="s">
        <v>416</v>
      </c>
      <c r="G25" s="255" t="s">
        <v>527</v>
      </c>
    </row>
    <row r="26" spans="1:7" ht="15.65" customHeight="1" x14ac:dyDescent="0.35">
      <c r="A26" s="176"/>
      <c r="B26" s="162" t="s">
        <v>414</v>
      </c>
      <c r="C26" s="162" t="s">
        <v>413</v>
      </c>
      <c r="D26" s="162" t="s">
        <v>412</v>
      </c>
      <c r="E26" s="163" t="s">
        <v>526</v>
      </c>
      <c r="F26" s="175"/>
      <c r="G26" s="256"/>
    </row>
    <row r="27" spans="1:7" ht="15.65" customHeight="1" thickBot="1" x14ac:dyDescent="0.4">
      <c r="A27" s="174"/>
      <c r="B27" s="173" t="s">
        <v>411</v>
      </c>
      <c r="C27" s="173" t="s">
        <v>410</v>
      </c>
      <c r="D27" s="173" t="s">
        <v>409</v>
      </c>
      <c r="E27" s="173" t="s">
        <v>525</v>
      </c>
      <c r="F27" s="172"/>
      <c r="G27" s="285"/>
    </row>
    <row r="28" spans="1:7" ht="15" thickBot="1" x14ac:dyDescent="0.4">
      <c r="A28" s="276" t="s">
        <v>408</v>
      </c>
      <c r="B28" s="277"/>
      <c r="C28" s="277"/>
      <c r="D28" s="277"/>
      <c r="E28" s="277"/>
      <c r="F28" s="277"/>
      <c r="G28" s="278"/>
    </row>
    <row r="29" spans="1:7" ht="55.15" customHeight="1" x14ac:dyDescent="0.35">
      <c r="A29" s="257" t="s">
        <v>407</v>
      </c>
      <c r="B29" s="227" t="s">
        <v>406</v>
      </c>
      <c r="C29" s="171" t="s">
        <v>405</v>
      </c>
      <c r="D29" s="151" t="s">
        <v>384</v>
      </c>
      <c r="E29" s="171" t="s">
        <v>524</v>
      </c>
      <c r="F29" s="282" t="s">
        <v>523</v>
      </c>
      <c r="G29" s="260" t="s">
        <v>522</v>
      </c>
    </row>
    <row r="30" spans="1:7" ht="322.89999999999998" customHeight="1" x14ac:dyDescent="0.35">
      <c r="A30" s="258"/>
      <c r="B30" s="228"/>
      <c r="C30" s="169" t="s">
        <v>401</v>
      </c>
      <c r="D30" s="170" t="s">
        <v>384</v>
      </c>
      <c r="E30" s="169" t="s">
        <v>521</v>
      </c>
      <c r="F30" s="283"/>
      <c r="G30" s="261"/>
    </row>
    <row r="31" spans="1:7" ht="42.65" customHeight="1" x14ac:dyDescent="0.35">
      <c r="A31" s="258"/>
      <c r="B31" s="228"/>
      <c r="C31" s="169" t="s">
        <v>385</v>
      </c>
      <c r="D31" s="148" t="s">
        <v>384</v>
      </c>
      <c r="E31" s="168" t="s">
        <v>516</v>
      </c>
      <c r="F31" s="283"/>
      <c r="G31" s="261"/>
    </row>
    <row r="32" spans="1:7" ht="204" customHeight="1" thickBot="1" x14ac:dyDescent="0.4">
      <c r="A32" s="259"/>
      <c r="B32" s="229"/>
      <c r="C32" s="167" t="s">
        <v>398</v>
      </c>
      <c r="D32" s="166" t="s">
        <v>520</v>
      </c>
      <c r="E32" s="165" t="s">
        <v>519</v>
      </c>
      <c r="F32" s="284"/>
      <c r="G32" s="262"/>
    </row>
    <row r="33" spans="1:7" ht="15" thickBot="1" x14ac:dyDescent="0.4">
      <c r="A33" s="238" t="s">
        <v>395</v>
      </c>
      <c r="B33" s="239"/>
      <c r="C33" s="239"/>
      <c r="D33" s="239"/>
      <c r="E33" s="239"/>
      <c r="F33" s="239"/>
      <c r="G33" s="240"/>
    </row>
    <row r="34" spans="1:7" ht="39" customHeight="1" x14ac:dyDescent="0.35">
      <c r="A34" s="247" t="s">
        <v>394</v>
      </c>
      <c r="B34" s="230" t="s">
        <v>370</v>
      </c>
      <c r="C34" s="164" t="s">
        <v>393</v>
      </c>
      <c r="D34" s="141" t="s">
        <v>384</v>
      </c>
      <c r="E34" s="286" t="s">
        <v>518</v>
      </c>
      <c r="F34" s="244" t="s">
        <v>391</v>
      </c>
      <c r="G34" s="279" t="s">
        <v>517</v>
      </c>
    </row>
    <row r="35" spans="1:7" ht="39" customHeight="1" x14ac:dyDescent="0.35">
      <c r="A35" s="248"/>
      <c r="B35" s="231"/>
      <c r="C35" s="163" t="s">
        <v>389</v>
      </c>
      <c r="D35" s="156"/>
      <c r="E35" s="245"/>
      <c r="F35" s="245"/>
      <c r="G35" s="280"/>
    </row>
    <row r="36" spans="1:7" ht="39" customHeight="1" thickBot="1" x14ac:dyDescent="0.4">
      <c r="A36" s="266"/>
      <c r="B36" s="232"/>
      <c r="C36" s="173" t="s">
        <v>388</v>
      </c>
      <c r="D36" s="204"/>
      <c r="E36" s="246"/>
      <c r="F36" s="246"/>
      <c r="G36" s="281"/>
    </row>
    <row r="37" spans="1:7" ht="38" thickBot="1" x14ac:dyDescent="0.4">
      <c r="A37" s="161" t="s">
        <v>387</v>
      </c>
      <c r="B37" s="160" t="s">
        <v>386</v>
      </c>
      <c r="C37" s="159" t="s">
        <v>385</v>
      </c>
      <c r="D37" s="160" t="s">
        <v>384</v>
      </c>
      <c r="E37" s="168" t="s">
        <v>516</v>
      </c>
      <c r="F37" s="159" t="s">
        <v>515</v>
      </c>
      <c r="G37" s="158" t="s">
        <v>514</v>
      </c>
    </row>
    <row r="38" spans="1:7" ht="15" customHeight="1" thickBot="1" x14ac:dyDescent="0.4">
      <c r="A38" s="263" t="s">
        <v>380</v>
      </c>
      <c r="B38" s="264"/>
      <c r="C38" s="264"/>
      <c r="D38" s="264"/>
      <c r="E38" s="264"/>
      <c r="F38" s="264"/>
      <c r="G38" s="265"/>
    </row>
    <row r="39" spans="1:7" ht="15" customHeight="1" x14ac:dyDescent="0.35">
      <c r="A39" s="247" t="s">
        <v>379</v>
      </c>
      <c r="B39" s="141" t="s">
        <v>378</v>
      </c>
      <c r="C39" s="142" t="s">
        <v>377</v>
      </c>
      <c r="D39" s="141" t="s">
        <v>339</v>
      </c>
      <c r="E39" s="230" t="s">
        <v>376</v>
      </c>
      <c r="F39" s="287" t="s">
        <v>513</v>
      </c>
      <c r="G39" s="140" t="s">
        <v>512</v>
      </c>
    </row>
    <row r="40" spans="1:7" ht="14.5" customHeight="1" x14ac:dyDescent="0.35">
      <c r="A40" s="248"/>
      <c r="B40" s="156"/>
      <c r="C40" s="156"/>
      <c r="D40" s="156"/>
      <c r="E40" s="231"/>
      <c r="F40" s="288"/>
      <c r="G40" s="157" t="s">
        <v>511</v>
      </c>
    </row>
    <row r="41" spans="1:7" x14ac:dyDescent="0.35">
      <c r="A41" s="248"/>
      <c r="B41" s="156"/>
      <c r="C41" s="156"/>
      <c r="D41" s="156"/>
      <c r="E41" s="231"/>
      <c r="F41" s="288"/>
      <c r="G41" s="157" t="s">
        <v>510</v>
      </c>
    </row>
    <row r="42" spans="1:7" ht="13.5" customHeight="1" x14ac:dyDescent="0.35">
      <c r="A42" s="248"/>
      <c r="B42" s="156"/>
      <c r="C42" s="156"/>
      <c r="D42" s="156"/>
      <c r="E42" s="231"/>
      <c r="F42" s="288"/>
      <c r="G42" s="157" t="s">
        <v>509</v>
      </c>
    </row>
    <row r="43" spans="1:7" ht="15" customHeight="1" thickBot="1" x14ac:dyDescent="0.4">
      <c r="A43" s="248"/>
      <c r="B43" s="156"/>
      <c r="C43" s="156"/>
      <c r="D43" s="156"/>
      <c r="E43" s="232"/>
      <c r="F43" s="288"/>
      <c r="G43" s="155" t="s">
        <v>349</v>
      </c>
    </row>
    <row r="44" spans="1:7" ht="15" customHeight="1" x14ac:dyDescent="0.35">
      <c r="A44" s="267" t="s">
        <v>371</v>
      </c>
      <c r="B44" s="273" t="s">
        <v>370</v>
      </c>
      <c r="C44" s="151" t="s">
        <v>369</v>
      </c>
      <c r="D44" s="151" t="s">
        <v>339</v>
      </c>
      <c r="E44" s="227" t="s">
        <v>368</v>
      </c>
      <c r="F44" s="233" t="s">
        <v>508</v>
      </c>
      <c r="G44" s="147" t="s">
        <v>366</v>
      </c>
    </row>
    <row r="45" spans="1:7" ht="15" customHeight="1" x14ac:dyDescent="0.35">
      <c r="A45" s="268"/>
      <c r="B45" s="274"/>
      <c r="C45" s="148"/>
      <c r="D45" s="148"/>
      <c r="E45" s="228"/>
      <c r="F45" s="234"/>
      <c r="G45" s="147" t="s">
        <v>365</v>
      </c>
    </row>
    <row r="46" spans="1:7" ht="15" customHeight="1" thickBot="1" x14ac:dyDescent="0.4">
      <c r="A46" s="269"/>
      <c r="B46" s="275"/>
      <c r="C46" s="145"/>
      <c r="D46" s="145"/>
      <c r="E46" s="229"/>
      <c r="F46" s="235"/>
      <c r="G46" s="144" t="s">
        <v>349</v>
      </c>
    </row>
    <row r="47" spans="1:7" ht="82.9" customHeight="1" thickBot="1" x14ac:dyDescent="0.4">
      <c r="A47" s="139" t="s">
        <v>364</v>
      </c>
      <c r="B47" s="137" t="s">
        <v>363</v>
      </c>
      <c r="C47" s="137" t="s">
        <v>362</v>
      </c>
      <c r="D47" s="137" t="s">
        <v>339</v>
      </c>
      <c r="E47" s="137" t="s">
        <v>507</v>
      </c>
      <c r="F47" s="137" t="s">
        <v>506</v>
      </c>
      <c r="G47" s="136" t="s">
        <v>360</v>
      </c>
    </row>
    <row r="48" spans="1:7" ht="15" thickBot="1" x14ac:dyDescent="0.4">
      <c r="A48" s="270" t="s">
        <v>359</v>
      </c>
      <c r="B48" s="271"/>
      <c r="C48" s="271"/>
      <c r="D48" s="271"/>
      <c r="E48" s="271"/>
      <c r="F48" s="271"/>
      <c r="G48" s="272"/>
    </row>
    <row r="49" spans="1:7" ht="25" x14ac:dyDescent="0.35">
      <c r="A49" s="153" t="s">
        <v>358</v>
      </c>
      <c r="B49" s="151" t="s">
        <v>357</v>
      </c>
      <c r="C49" s="152" t="s">
        <v>356</v>
      </c>
      <c r="D49" s="151" t="s">
        <v>339</v>
      </c>
      <c r="E49" s="233" t="s">
        <v>355</v>
      </c>
      <c r="F49" s="227" t="s">
        <v>505</v>
      </c>
      <c r="G49" s="150" t="s">
        <v>504</v>
      </c>
    </row>
    <row r="50" spans="1:7" x14ac:dyDescent="0.35">
      <c r="A50" s="149"/>
      <c r="B50" s="148"/>
      <c r="C50" s="148"/>
      <c r="D50" s="148"/>
      <c r="E50" s="234"/>
      <c r="F50" s="228"/>
      <c r="G50" s="147" t="s">
        <v>503</v>
      </c>
    </row>
    <row r="51" spans="1:7" x14ac:dyDescent="0.35">
      <c r="A51" s="149"/>
      <c r="B51" s="148"/>
      <c r="C51" s="148"/>
      <c r="D51" s="148"/>
      <c r="E51" s="234"/>
      <c r="F51" s="228"/>
      <c r="G51" s="147" t="s">
        <v>502</v>
      </c>
    </row>
    <row r="52" spans="1:7" x14ac:dyDescent="0.35">
      <c r="A52" s="149"/>
      <c r="B52" s="148"/>
      <c r="C52" s="148"/>
      <c r="D52" s="148"/>
      <c r="E52" s="234"/>
      <c r="F52" s="228"/>
      <c r="G52" s="147" t="s">
        <v>501</v>
      </c>
    </row>
    <row r="53" spans="1:7" ht="15" customHeight="1" thickBot="1" x14ac:dyDescent="0.4">
      <c r="A53" s="146"/>
      <c r="B53" s="145"/>
      <c r="C53" s="145"/>
      <c r="D53" s="145"/>
      <c r="E53" s="235"/>
      <c r="F53" s="229"/>
      <c r="G53" s="144" t="s">
        <v>349</v>
      </c>
    </row>
    <row r="54" spans="1:7" ht="69.650000000000006" customHeight="1" thickBot="1" x14ac:dyDescent="0.4">
      <c r="A54" s="143" t="s">
        <v>348</v>
      </c>
      <c r="B54" s="141" t="s">
        <v>347</v>
      </c>
      <c r="C54" s="142" t="s">
        <v>346</v>
      </c>
      <c r="D54" s="141" t="s">
        <v>339</v>
      </c>
      <c r="E54" s="141" t="s">
        <v>345</v>
      </c>
      <c r="F54" s="141" t="s">
        <v>500</v>
      </c>
      <c r="G54" s="140" t="s">
        <v>499</v>
      </c>
    </row>
    <row r="55" spans="1:7" ht="61.15" customHeight="1" thickBot="1" x14ac:dyDescent="0.4">
      <c r="A55" s="139" t="s">
        <v>342</v>
      </c>
      <c r="B55" s="137" t="s">
        <v>341</v>
      </c>
      <c r="C55" s="138" t="s">
        <v>340</v>
      </c>
      <c r="D55" s="137" t="s">
        <v>339</v>
      </c>
      <c r="E55" s="203" t="s">
        <v>498</v>
      </c>
      <c r="F55" s="203" t="s">
        <v>497</v>
      </c>
      <c r="G55" s="136" t="s">
        <v>336</v>
      </c>
    </row>
    <row r="56" spans="1:7" x14ac:dyDescent="0.35">
      <c r="A56" s="135"/>
      <c r="B56" s="134"/>
      <c r="C56" s="135"/>
      <c r="D56" s="134"/>
      <c r="E56" s="134"/>
      <c r="F56" s="134"/>
      <c r="G56" s="134"/>
    </row>
  </sheetData>
  <mergeCells count="33">
    <mergeCell ref="F39:F43"/>
    <mergeCell ref="A44:A46"/>
    <mergeCell ref="B44:B46"/>
    <mergeCell ref="E44:E46"/>
    <mergeCell ref="F44:F46"/>
    <mergeCell ref="A33:G33"/>
    <mergeCell ref="F49:F53"/>
    <mergeCell ref="A48:G48"/>
    <mergeCell ref="E49:E53"/>
    <mergeCell ref="G9:G13"/>
    <mergeCell ref="F9:F13"/>
    <mergeCell ref="G15:G24"/>
    <mergeCell ref="G25:G27"/>
    <mergeCell ref="A38:G38"/>
    <mergeCell ref="A39:A43"/>
    <mergeCell ref="E39:E43"/>
    <mergeCell ref="A28:G28"/>
    <mergeCell ref="A29:A32"/>
    <mergeCell ref="B29:B32"/>
    <mergeCell ref="F29:F32"/>
    <mergeCell ref="G29:G32"/>
    <mergeCell ref="A34:A36"/>
    <mergeCell ref="B34:B36"/>
    <mergeCell ref="E34:E36"/>
    <mergeCell ref="F34:F36"/>
    <mergeCell ref="G34:G36"/>
    <mergeCell ref="A9:A13"/>
    <mergeCell ref="B9:B13"/>
    <mergeCell ref="A1:G1"/>
    <mergeCell ref="A3:G3"/>
    <mergeCell ref="A6:A8"/>
    <mergeCell ref="F6:F8"/>
    <mergeCell ref="G6:G8"/>
  </mergeCells>
  <printOptions horizontalCentered="1"/>
  <pageMargins left="0.25" right="0.25" top="0.5" bottom="0.5" header="0.3" footer="0.3"/>
  <pageSetup scale="62" fitToHeight="0" orientation="landscape" r:id="rId1"/>
  <headerFooter>
    <oddHeader>&amp;C&amp;"-,Bold"&amp;16 2017 QUALITY CARE MEASURE SUMMARY GUIDELINES</oddHeader>
  </headerFooter>
  <rowBreaks count="4" manualBreakCount="4">
    <brk id="8" max="16383" man="1"/>
    <brk id="14" max="16383" man="1"/>
    <brk id="27" max="16383" man="1"/>
    <brk id="32"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93"/>
  <sheetViews>
    <sheetView showGridLines="0" topLeftCell="B34" workbookViewId="0">
      <selection activeCell="I62" sqref="I62"/>
    </sheetView>
  </sheetViews>
  <sheetFormatPr defaultColWidth="8.81640625" defaultRowHeight="12" x14ac:dyDescent="0.35"/>
  <cols>
    <col min="1" max="1" width="10.1796875" style="1" bestFit="1" customWidth="1"/>
    <col min="2" max="2" width="19.7265625" style="4" bestFit="1" customWidth="1"/>
    <col min="3" max="3" width="3.26953125" style="1" customWidth="1"/>
    <col min="4" max="4" width="19.7265625" style="1" bestFit="1" customWidth="1"/>
    <col min="5" max="5" width="28.26953125" style="1" bestFit="1" customWidth="1"/>
    <col min="6" max="6" width="17.1796875" style="1" bestFit="1" customWidth="1"/>
    <col min="7" max="7" width="3.7265625" style="1" customWidth="1"/>
    <col min="8" max="8" width="25" style="1" bestFit="1" customWidth="1"/>
    <col min="9" max="9" width="14.7265625" style="1" bestFit="1" customWidth="1"/>
    <col min="10" max="10" width="17.7265625" style="1" bestFit="1" customWidth="1"/>
    <col min="11" max="11" width="3" style="1" customWidth="1"/>
    <col min="12" max="12" width="25" style="1" bestFit="1" customWidth="1"/>
    <col min="13" max="13" width="8" style="1" bestFit="1" customWidth="1"/>
    <col min="14" max="14" width="15" style="1" bestFit="1" customWidth="1"/>
    <col min="15" max="15" width="2.7265625" style="1" customWidth="1"/>
    <col min="16" max="16" width="25" style="1" bestFit="1" customWidth="1"/>
    <col min="17" max="17" width="14.7265625" style="1" customWidth="1"/>
    <col min="18" max="18" width="15" style="1" customWidth="1"/>
    <col min="19" max="19" width="2.81640625" style="1" customWidth="1"/>
    <col min="20" max="20" width="36.453125" style="1" customWidth="1"/>
    <col min="21" max="21" width="9.81640625" style="2" customWidth="1"/>
    <col min="22" max="16384" width="8.81640625" style="1"/>
  </cols>
  <sheetData>
    <row r="1" spans="1:23" s="54" customFormat="1" ht="12.5" thickBot="1" x14ac:dyDescent="0.4">
      <c r="A1" s="7" t="s">
        <v>0</v>
      </c>
      <c r="B1" s="8" t="s">
        <v>6</v>
      </c>
      <c r="D1" s="7" t="s">
        <v>6</v>
      </c>
      <c r="E1" s="9" t="s">
        <v>7</v>
      </c>
      <c r="F1" s="8" t="s">
        <v>76</v>
      </c>
      <c r="H1" s="7" t="s">
        <v>7</v>
      </c>
      <c r="I1" s="9" t="s">
        <v>53</v>
      </c>
      <c r="J1" s="8" t="s">
        <v>73</v>
      </c>
      <c r="L1" s="51" t="s">
        <v>7</v>
      </c>
      <c r="M1" s="52" t="s">
        <v>54</v>
      </c>
      <c r="N1" s="53" t="s">
        <v>73</v>
      </c>
      <c r="P1" s="51" t="s">
        <v>7</v>
      </c>
      <c r="Q1" s="52" t="s">
        <v>175</v>
      </c>
      <c r="R1" s="53" t="s">
        <v>73</v>
      </c>
      <c r="T1" s="42" t="s">
        <v>138</v>
      </c>
      <c r="U1" s="43" t="s">
        <v>142</v>
      </c>
      <c r="W1" s="2"/>
    </row>
    <row r="2" spans="1:23" ht="12.5" thickBot="1" x14ac:dyDescent="0.4">
      <c r="A2" s="10" t="s">
        <v>3</v>
      </c>
      <c r="B2" s="11" t="s">
        <v>9</v>
      </c>
      <c r="D2" s="12" t="s">
        <v>9</v>
      </c>
      <c r="E2" s="13" t="s">
        <v>20</v>
      </c>
      <c r="F2" s="14" t="s">
        <v>78</v>
      </c>
      <c r="H2" s="12" t="s">
        <v>29</v>
      </c>
      <c r="I2" s="13" t="s">
        <v>32</v>
      </c>
      <c r="J2" s="14" t="s">
        <v>74</v>
      </c>
      <c r="L2" s="46" t="s">
        <v>166</v>
      </c>
      <c r="M2" s="47"/>
      <c r="N2" s="48" t="s">
        <v>176</v>
      </c>
      <c r="P2" s="25" t="s">
        <v>166</v>
      </c>
      <c r="Q2" s="59"/>
      <c r="R2" s="60" t="s">
        <v>177</v>
      </c>
      <c r="T2" s="18" t="s">
        <v>20</v>
      </c>
      <c r="U2" s="64">
        <v>7</v>
      </c>
    </row>
    <row r="3" spans="1:23" ht="12.5" thickBot="1" x14ac:dyDescent="0.4">
      <c r="A3" s="66" t="s">
        <v>5</v>
      </c>
      <c r="B3" s="67" t="s">
        <v>16</v>
      </c>
      <c r="D3" s="15" t="s">
        <v>9</v>
      </c>
      <c r="E3" s="16" t="s">
        <v>21</v>
      </c>
      <c r="F3" s="17" t="s">
        <v>79</v>
      </c>
      <c r="H3" s="18" t="s">
        <v>29</v>
      </c>
      <c r="I3" s="19" t="s">
        <v>33</v>
      </c>
      <c r="J3" s="20"/>
      <c r="L3" s="46" t="s">
        <v>178</v>
      </c>
      <c r="M3" s="47"/>
      <c r="N3" s="48" t="s">
        <v>176</v>
      </c>
      <c r="P3" s="25" t="s">
        <v>178</v>
      </c>
      <c r="Q3" s="59"/>
      <c r="R3" s="60" t="s">
        <v>177</v>
      </c>
      <c r="T3" s="18" t="s">
        <v>21</v>
      </c>
      <c r="U3" s="64">
        <v>1</v>
      </c>
    </row>
    <row r="4" spans="1:23" ht="12.5" thickBot="1" x14ac:dyDescent="0.4">
      <c r="A4" s="21" t="s">
        <v>4</v>
      </c>
      <c r="B4" s="22" t="s">
        <v>10</v>
      </c>
      <c r="D4" s="18" t="s">
        <v>9</v>
      </c>
      <c r="E4" s="19" t="s">
        <v>22</v>
      </c>
      <c r="F4" s="20" t="s">
        <v>80</v>
      </c>
      <c r="H4" s="18" t="s">
        <v>29</v>
      </c>
      <c r="I4" s="19" t="s">
        <v>34</v>
      </c>
      <c r="J4" s="20"/>
      <c r="L4" s="34" t="s">
        <v>46</v>
      </c>
      <c r="M4" s="35"/>
      <c r="N4" s="36" t="s">
        <v>56</v>
      </c>
      <c r="P4" s="12" t="s">
        <v>115</v>
      </c>
      <c r="Q4" s="13" t="s">
        <v>189</v>
      </c>
      <c r="R4" s="55" t="s">
        <v>188</v>
      </c>
      <c r="T4" s="18" t="s">
        <v>24</v>
      </c>
      <c r="U4" s="64">
        <v>42</v>
      </c>
    </row>
    <row r="5" spans="1:23" ht="12.5" thickBot="1" x14ac:dyDescent="0.4">
      <c r="A5" s="23" t="s">
        <v>4</v>
      </c>
      <c r="B5" s="24" t="s">
        <v>150</v>
      </c>
      <c r="D5" s="18" t="s">
        <v>9</v>
      </c>
      <c r="E5" s="19" t="s">
        <v>23</v>
      </c>
      <c r="F5" s="20" t="s">
        <v>149</v>
      </c>
      <c r="H5" s="25" t="s">
        <v>29</v>
      </c>
      <c r="I5" s="26" t="s">
        <v>35</v>
      </c>
      <c r="J5" s="27"/>
      <c r="L5" s="12" t="s">
        <v>115</v>
      </c>
      <c r="M5" s="13" t="s">
        <v>120</v>
      </c>
      <c r="N5" s="55" t="s">
        <v>119</v>
      </c>
      <c r="P5" s="25" t="s">
        <v>115</v>
      </c>
      <c r="Q5" s="59" t="s">
        <v>190</v>
      </c>
      <c r="R5" s="60"/>
      <c r="T5" s="18" t="s">
        <v>25</v>
      </c>
      <c r="U5" s="64">
        <v>42</v>
      </c>
    </row>
    <row r="6" spans="1:23" x14ac:dyDescent="0.35">
      <c r="A6" s="23" t="s">
        <v>4</v>
      </c>
      <c r="B6" s="57" t="s">
        <v>13</v>
      </c>
      <c r="D6" s="18" t="s">
        <v>9</v>
      </c>
      <c r="E6" s="19" t="s">
        <v>161</v>
      </c>
      <c r="F6" s="20"/>
      <c r="H6" s="12" t="s">
        <v>30</v>
      </c>
      <c r="I6" s="13" t="s">
        <v>32</v>
      </c>
      <c r="J6" s="14" t="s">
        <v>74</v>
      </c>
      <c r="L6" s="18" t="s">
        <v>115</v>
      </c>
      <c r="M6" s="19" t="s">
        <v>121</v>
      </c>
      <c r="N6" s="56"/>
      <c r="P6" s="12" t="s">
        <v>116</v>
      </c>
      <c r="Q6" s="13" t="s">
        <v>189</v>
      </c>
      <c r="R6" s="55" t="s">
        <v>188</v>
      </c>
      <c r="T6" s="18" t="s">
        <v>163</v>
      </c>
      <c r="U6" s="64">
        <v>1</v>
      </c>
    </row>
    <row r="7" spans="1:23" ht="12.5" thickBot="1" x14ac:dyDescent="0.4">
      <c r="A7" s="23" t="s">
        <v>4</v>
      </c>
      <c r="B7" s="57" t="s">
        <v>14</v>
      </c>
      <c r="D7" s="18" t="s">
        <v>9</v>
      </c>
      <c r="E7" s="19" t="s">
        <v>153</v>
      </c>
      <c r="F7" s="20"/>
      <c r="H7" s="18" t="s">
        <v>30</v>
      </c>
      <c r="I7" s="19" t="s">
        <v>33</v>
      </c>
      <c r="J7" s="20"/>
      <c r="L7" s="18" t="s">
        <v>115</v>
      </c>
      <c r="M7" s="19" t="s">
        <v>122</v>
      </c>
      <c r="N7" s="56"/>
      <c r="P7" s="25" t="s">
        <v>116</v>
      </c>
      <c r="Q7" s="59" t="s">
        <v>190</v>
      </c>
      <c r="R7" s="60"/>
      <c r="T7" s="18" t="s">
        <v>162</v>
      </c>
      <c r="U7" s="64">
        <v>14</v>
      </c>
    </row>
    <row r="8" spans="1:23" ht="12.5" thickBot="1" x14ac:dyDescent="0.4">
      <c r="A8" s="23" t="s">
        <v>4</v>
      </c>
      <c r="B8" s="57" t="s">
        <v>15</v>
      </c>
      <c r="D8" s="25" t="s">
        <v>9</v>
      </c>
      <c r="E8" s="28" t="s">
        <v>28</v>
      </c>
      <c r="F8" s="29"/>
      <c r="H8" s="18" t="s">
        <v>30</v>
      </c>
      <c r="I8" s="19" t="s">
        <v>34</v>
      </c>
      <c r="J8" s="20"/>
      <c r="L8" s="18" t="s">
        <v>115</v>
      </c>
      <c r="M8" s="6" t="s">
        <v>123</v>
      </c>
      <c r="N8" s="56"/>
      <c r="T8" s="18" t="s">
        <v>134</v>
      </c>
      <c r="U8" s="64">
        <v>42</v>
      </c>
    </row>
    <row r="9" spans="1:23" ht="12.5" thickBot="1" x14ac:dyDescent="0.4">
      <c r="A9" s="23" t="s">
        <v>4</v>
      </c>
      <c r="B9" s="57" t="s">
        <v>17</v>
      </c>
      <c r="D9" s="12" t="s">
        <v>10</v>
      </c>
      <c r="E9" s="13" t="s">
        <v>24</v>
      </c>
      <c r="F9" s="14" t="s">
        <v>82</v>
      </c>
      <c r="H9" s="25" t="s">
        <v>30</v>
      </c>
      <c r="I9" s="26" t="s">
        <v>35</v>
      </c>
      <c r="J9" s="27"/>
      <c r="L9" s="18" t="s">
        <v>115</v>
      </c>
      <c r="M9" s="6" t="s">
        <v>124</v>
      </c>
      <c r="N9" s="56"/>
      <c r="T9" s="18" t="s">
        <v>135</v>
      </c>
      <c r="U9" s="64">
        <v>42</v>
      </c>
    </row>
    <row r="10" spans="1:23" x14ac:dyDescent="0.35">
      <c r="A10" s="23" t="s">
        <v>4</v>
      </c>
      <c r="B10" s="57" t="s">
        <v>19</v>
      </c>
      <c r="D10" s="18" t="s">
        <v>10</v>
      </c>
      <c r="E10" s="19" t="s">
        <v>25</v>
      </c>
      <c r="F10" s="20" t="s">
        <v>81</v>
      </c>
      <c r="H10" s="12" t="s">
        <v>36</v>
      </c>
      <c r="I10" s="13" t="s">
        <v>38</v>
      </c>
      <c r="J10" s="14" t="s">
        <v>74</v>
      </c>
      <c r="L10" s="18" t="s">
        <v>115</v>
      </c>
      <c r="M10" s="6" t="s">
        <v>125</v>
      </c>
      <c r="N10" s="56"/>
      <c r="T10" s="18" t="s">
        <v>136</v>
      </c>
      <c r="U10" s="64">
        <v>21</v>
      </c>
    </row>
    <row r="11" spans="1:23" ht="12.5" thickBot="1" x14ac:dyDescent="0.4">
      <c r="A11" s="68" t="s">
        <v>4</v>
      </c>
      <c r="B11" s="69" t="s">
        <v>145</v>
      </c>
      <c r="D11" s="18" t="s">
        <v>10</v>
      </c>
      <c r="E11" s="19" t="s">
        <v>163</v>
      </c>
      <c r="F11" s="20" t="s">
        <v>164</v>
      </c>
      <c r="H11" s="18" t="s">
        <v>36</v>
      </c>
      <c r="I11" s="19" t="s">
        <v>39</v>
      </c>
      <c r="J11" s="20"/>
      <c r="L11" s="18" t="s">
        <v>115</v>
      </c>
      <c r="M11" s="6" t="s">
        <v>126</v>
      </c>
      <c r="N11" s="56"/>
      <c r="T11" s="18" t="s">
        <v>137</v>
      </c>
      <c r="U11" s="64">
        <v>21</v>
      </c>
    </row>
    <row r="12" spans="1:23" ht="12.5" thickBot="1" x14ac:dyDescent="0.4">
      <c r="A12" s="21" t="s">
        <v>152</v>
      </c>
      <c r="B12" s="70" t="s">
        <v>12</v>
      </c>
      <c r="D12" s="18" t="s">
        <v>10</v>
      </c>
      <c r="E12" s="19" t="s">
        <v>26</v>
      </c>
      <c r="F12" s="20" t="s">
        <v>80</v>
      </c>
      <c r="H12" s="25" t="s">
        <v>36</v>
      </c>
      <c r="I12" s="26" t="s">
        <v>40</v>
      </c>
      <c r="J12" s="27"/>
      <c r="L12" s="18" t="s">
        <v>115</v>
      </c>
      <c r="M12" s="6" t="s">
        <v>127</v>
      </c>
      <c r="N12" s="56"/>
      <c r="T12" s="18" t="s">
        <v>139</v>
      </c>
      <c r="U12" s="64">
        <v>14</v>
      </c>
    </row>
    <row r="13" spans="1:23" x14ac:dyDescent="0.35">
      <c r="A13" s="23" t="s">
        <v>152</v>
      </c>
      <c r="B13" s="24" t="s">
        <v>11</v>
      </c>
      <c r="D13" s="18" t="s">
        <v>10</v>
      </c>
      <c r="E13" s="19" t="s">
        <v>162</v>
      </c>
      <c r="F13" s="20" t="s">
        <v>45</v>
      </c>
      <c r="H13" s="12" t="s">
        <v>37</v>
      </c>
      <c r="I13" s="13" t="s">
        <v>38</v>
      </c>
      <c r="J13" s="14" t="s">
        <v>74</v>
      </c>
      <c r="L13" s="18" t="s">
        <v>115</v>
      </c>
      <c r="M13" s="6" t="s">
        <v>128</v>
      </c>
      <c r="N13" s="56"/>
      <c r="T13" s="18" t="s">
        <v>140</v>
      </c>
      <c r="U13" s="64">
        <v>14</v>
      </c>
    </row>
    <row r="14" spans="1:23" ht="12.5" thickBot="1" x14ac:dyDescent="0.4">
      <c r="A14" s="31" t="s">
        <v>152</v>
      </c>
      <c r="B14" s="58" t="s">
        <v>18</v>
      </c>
      <c r="D14" s="18" t="s">
        <v>10</v>
      </c>
      <c r="E14" s="19" t="s">
        <v>27</v>
      </c>
      <c r="F14" s="20" t="s">
        <v>149</v>
      </c>
      <c r="H14" s="18" t="s">
        <v>37</v>
      </c>
      <c r="I14" s="19" t="s">
        <v>39</v>
      </c>
      <c r="J14" s="20"/>
      <c r="L14" s="18" t="s">
        <v>115</v>
      </c>
      <c r="M14" s="6" t="s">
        <v>129</v>
      </c>
      <c r="N14" s="56"/>
      <c r="T14" s="18" t="s">
        <v>141</v>
      </c>
      <c r="U14" s="64">
        <v>21</v>
      </c>
    </row>
    <row r="15" spans="1:23" ht="12.5" thickBot="1" x14ac:dyDescent="0.4">
      <c r="B15" s="1"/>
      <c r="D15" s="18" t="s">
        <v>10</v>
      </c>
      <c r="E15" s="19" t="s">
        <v>153</v>
      </c>
      <c r="F15" s="20"/>
      <c r="H15" s="25" t="s">
        <v>37</v>
      </c>
      <c r="I15" s="26" t="s">
        <v>40</v>
      </c>
      <c r="J15" s="27"/>
      <c r="L15" s="18" t="s">
        <v>115</v>
      </c>
      <c r="M15" s="6" t="s">
        <v>130</v>
      </c>
      <c r="N15" s="56"/>
      <c r="T15" s="18" t="s">
        <v>41</v>
      </c>
      <c r="U15" s="64">
        <v>10</v>
      </c>
    </row>
    <row r="16" spans="1:23" ht="12.5" thickBot="1" x14ac:dyDescent="0.4">
      <c r="B16" s="1"/>
      <c r="D16" s="30" t="s">
        <v>10</v>
      </c>
      <c r="E16" s="28" t="s">
        <v>28</v>
      </c>
      <c r="F16" s="29"/>
      <c r="H16" s="12" t="s">
        <v>166</v>
      </c>
      <c r="I16" s="13" t="s">
        <v>59</v>
      </c>
      <c r="J16" s="14" t="s">
        <v>58</v>
      </c>
      <c r="L16" s="25" t="s">
        <v>115</v>
      </c>
      <c r="M16" s="59" t="s">
        <v>131</v>
      </c>
      <c r="N16" s="60"/>
      <c r="T16" s="18" t="s">
        <v>187</v>
      </c>
      <c r="U16" s="64">
        <v>7</v>
      </c>
    </row>
    <row r="17" spans="2:21" x14ac:dyDescent="0.35">
      <c r="B17" s="1"/>
      <c r="D17" s="12" t="s">
        <v>11</v>
      </c>
      <c r="E17" s="32" t="s">
        <v>93</v>
      </c>
      <c r="F17" s="33" t="s">
        <v>96</v>
      </c>
      <c r="H17" s="18" t="s">
        <v>166</v>
      </c>
      <c r="I17" s="6" t="s">
        <v>60</v>
      </c>
      <c r="J17" s="56"/>
      <c r="L17" s="12" t="s">
        <v>116</v>
      </c>
      <c r="M17" s="13" t="s">
        <v>120</v>
      </c>
      <c r="N17" s="55" t="s">
        <v>119</v>
      </c>
      <c r="T17" s="18" t="s">
        <v>49</v>
      </c>
      <c r="U17" s="64">
        <v>1</v>
      </c>
    </row>
    <row r="18" spans="2:21" x14ac:dyDescent="0.35">
      <c r="B18" s="1"/>
      <c r="D18" s="40" t="s">
        <v>11</v>
      </c>
      <c r="E18" s="5" t="s">
        <v>29</v>
      </c>
      <c r="F18" s="41" t="s">
        <v>83</v>
      </c>
      <c r="H18" s="18" t="s">
        <v>166</v>
      </c>
      <c r="I18" s="6" t="s">
        <v>61</v>
      </c>
      <c r="J18" s="56"/>
      <c r="L18" s="18" t="s">
        <v>116</v>
      </c>
      <c r="M18" s="19" t="s">
        <v>121</v>
      </c>
      <c r="N18" s="56"/>
      <c r="T18" s="18" t="s">
        <v>48</v>
      </c>
      <c r="U18" s="64">
        <v>7</v>
      </c>
    </row>
    <row r="19" spans="2:21" x14ac:dyDescent="0.35">
      <c r="B19" s="1"/>
      <c r="D19" s="18" t="s">
        <v>11</v>
      </c>
      <c r="E19" s="19" t="s">
        <v>30</v>
      </c>
      <c r="F19" s="20" t="s">
        <v>80</v>
      </c>
      <c r="H19" s="18" t="s">
        <v>166</v>
      </c>
      <c r="I19" s="6" t="s">
        <v>62</v>
      </c>
      <c r="J19" s="56"/>
      <c r="L19" s="18" t="s">
        <v>116</v>
      </c>
      <c r="M19" s="19" t="s">
        <v>122</v>
      </c>
      <c r="N19" s="56"/>
      <c r="T19" s="18" t="s">
        <v>87</v>
      </c>
      <c r="U19" s="64">
        <v>1</v>
      </c>
    </row>
    <row r="20" spans="2:21" x14ac:dyDescent="0.35">
      <c r="B20" s="1"/>
      <c r="D20" s="18" t="s">
        <v>11</v>
      </c>
      <c r="E20" s="19" t="s">
        <v>162</v>
      </c>
      <c r="F20" s="20" t="s">
        <v>45</v>
      </c>
      <c r="H20" s="18" t="s">
        <v>166</v>
      </c>
      <c r="I20" s="6" t="s">
        <v>63</v>
      </c>
      <c r="J20" s="56"/>
      <c r="L20" s="18" t="s">
        <v>116</v>
      </c>
      <c r="M20" s="6" t="s">
        <v>123</v>
      </c>
      <c r="N20" s="56"/>
      <c r="T20" s="18" t="s">
        <v>88</v>
      </c>
      <c r="U20" s="64">
        <v>7</v>
      </c>
    </row>
    <row r="21" spans="2:21" x14ac:dyDescent="0.35">
      <c r="B21" s="1"/>
      <c r="D21" s="18" t="s">
        <v>11</v>
      </c>
      <c r="E21" s="19" t="s">
        <v>31</v>
      </c>
      <c r="F21" s="20" t="s">
        <v>149</v>
      </c>
      <c r="H21" s="18" t="s">
        <v>166</v>
      </c>
      <c r="I21" s="6" t="s">
        <v>64</v>
      </c>
      <c r="J21" s="56"/>
      <c r="L21" s="18" t="s">
        <v>116</v>
      </c>
      <c r="M21" s="6" t="s">
        <v>124</v>
      </c>
      <c r="N21" s="56"/>
      <c r="T21" s="18" t="s">
        <v>89</v>
      </c>
      <c r="U21" s="64">
        <v>14</v>
      </c>
    </row>
    <row r="22" spans="2:21" x14ac:dyDescent="0.35">
      <c r="B22" s="1"/>
      <c r="D22" s="18" t="s">
        <v>11</v>
      </c>
      <c r="E22" s="19" t="s">
        <v>153</v>
      </c>
      <c r="F22" s="20"/>
      <c r="H22" s="18" t="s">
        <v>166</v>
      </c>
      <c r="I22" s="6" t="s">
        <v>65</v>
      </c>
      <c r="J22" s="56"/>
      <c r="L22" s="18" t="s">
        <v>116</v>
      </c>
      <c r="M22" s="6" t="s">
        <v>125</v>
      </c>
      <c r="N22" s="56"/>
      <c r="T22" s="18" t="s">
        <v>94</v>
      </c>
      <c r="U22" s="64">
        <v>1</v>
      </c>
    </row>
    <row r="23" spans="2:21" ht="12.5" thickBot="1" x14ac:dyDescent="0.4">
      <c r="B23" s="1"/>
      <c r="D23" s="18" t="s">
        <v>11</v>
      </c>
      <c r="E23" s="19" t="s">
        <v>158</v>
      </c>
      <c r="F23" s="20" t="s">
        <v>160</v>
      </c>
      <c r="H23" s="25" t="s">
        <v>166</v>
      </c>
      <c r="I23" s="59" t="s">
        <v>66</v>
      </c>
      <c r="J23" s="60"/>
      <c r="L23" s="18" t="s">
        <v>116</v>
      </c>
      <c r="M23" s="6" t="s">
        <v>126</v>
      </c>
      <c r="N23" s="56"/>
      <c r="T23" s="18" t="s">
        <v>109</v>
      </c>
      <c r="U23" s="64">
        <v>14</v>
      </c>
    </row>
    <row r="24" spans="2:21" ht="12.5" thickBot="1" x14ac:dyDescent="0.4">
      <c r="D24" s="37" t="s">
        <v>11</v>
      </c>
      <c r="E24" s="38" t="s">
        <v>28</v>
      </c>
      <c r="F24" s="39"/>
      <c r="H24" s="12" t="s">
        <v>178</v>
      </c>
      <c r="I24" s="13" t="s">
        <v>59</v>
      </c>
      <c r="J24" s="14" t="s">
        <v>58</v>
      </c>
      <c r="L24" s="18" t="s">
        <v>116</v>
      </c>
      <c r="M24" s="6" t="s">
        <v>127</v>
      </c>
      <c r="N24" s="56"/>
      <c r="T24" s="18" t="s">
        <v>110</v>
      </c>
      <c r="U24" s="64">
        <v>1</v>
      </c>
    </row>
    <row r="25" spans="2:21" x14ac:dyDescent="0.35">
      <c r="D25" s="12" t="s">
        <v>12</v>
      </c>
      <c r="E25" s="32" t="s">
        <v>93</v>
      </c>
      <c r="F25" s="33" t="s">
        <v>96</v>
      </c>
      <c r="H25" s="18" t="s">
        <v>178</v>
      </c>
      <c r="I25" s="6" t="s">
        <v>60</v>
      </c>
      <c r="J25" s="56"/>
      <c r="L25" s="18" t="s">
        <v>116</v>
      </c>
      <c r="M25" s="6" t="s">
        <v>128</v>
      </c>
      <c r="N25" s="56"/>
      <c r="T25" s="18" t="s">
        <v>167</v>
      </c>
      <c r="U25" s="64">
        <v>7</v>
      </c>
    </row>
    <row r="26" spans="2:21" x14ac:dyDescent="0.35">
      <c r="D26" s="40" t="s">
        <v>12</v>
      </c>
      <c r="E26" s="49" t="s">
        <v>36</v>
      </c>
      <c r="F26" s="50" t="s">
        <v>45</v>
      </c>
      <c r="H26" s="18" t="s">
        <v>178</v>
      </c>
      <c r="I26" s="6" t="s">
        <v>61</v>
      </c>
      <c r="J26" s="56"/>
      <c r="L26" s="18" t="s">
        <v>116</v>
      </c>
      <c r="M26" s="6" t="s">
        <v>129</v>
      </c>
      <c r="N26" s="56"/>
      <c r="T26" s="18" t="s">
        <v>168</v>
      </c>
      <c r="U26" s="64">
        <v>14</v>
      </c>
    </row>
    <row r="27" spans="2:21" x14ac:dyDescent="0.35">
      <c r="D27" s="18" t="s">
        <v>12</v>
      </c>
      <c r="E27" s="16" t="s">
        <v>37</v>
      </c>
      <c r="F27" s="17" t="s">
        <v>45</v>
      </c>
      <c r="H27" s="18" t="s">
        <v>178</v>
      </c>
      <c r="I27" s="6" t="s">
        <v>62</v>
      </c>
      <c r="J27" s="56"/>
      <c r="L27" s="18" t="s">
        <v>116</v>
      </c>
      <c r="M27" s="6" t="s">
        <v>130</v>
      </c>
      <c r="N27" s="56"/>
      <c r="T27" s="18" t="s">
        <v>169</v>
      </c>
      <c r="U27" s="64">
        <v>21</v>
      </c>
    </row>
    <row r="28" spans="2:21" ht="12.5" thickBot="1" x14ac:dyDescent="0.4">
      <c r="D28" s="18" t="s">
        <v>12</v>
      </c>
      <c r="E28" s="19" t="s">
        <v>162</v>
      </c>
      <c r="F28" s="20" t="s">
        <v>45</v>
      </c>
      <c r="H28" s="18" t="s">
        <v>178</v>
      </c>
      <c r="I28" s="6" t="s">
        <v>63</v>
      </c>
      <c r="J28" s="56"/>
      <c r="L28" s="25" t="s">
        <v>116</v>
      </c>
      <c r="M28" s="59" t="s">
        <v>131</v>
      </c>
      <c r="N28" s="60"/>
      <c r="T28" s="18" t="s">
        <v>170</v>
      </c>
      <c r="U28" s="64">
        <v>28</v>
      </c>
    </row>
    <row r="29" spans="2:21" x14ac:dyDescent="0.35">
      <c r="D29" s="18" t="s">
        <v>12</v>
      </c>
      <c r="E29" s="16" t="s">
        <v>31</v>
      </c>
      <c r="F29" s="17" t="s">
        <v>149</v>
      </c>
      <c r="H29" s="18" t="s">
        <v>178</v>
      </c>
      <c r="I29" s="6" t="s">
        <v>64</v>
      </c>
      <c r="J29" s="56"/>
      <c r="T29" s="18" t="s">
        <v>171</v>
      </c>
      <c r="U29" s="64">
        <v>35</v>
      </c>
    </row>
    <row r="30" spans="2:21" x14ac:dyDescent="0.35">
      <c r="D30" s="18" t="s">
        <v>12</v>
      </c>
      <c r="E30" s="16" t="s">
        <v>153</v>
      </c>
      <c r="F30" s="17"/>
      <c r="H30" s="18" t="s">
        <v>178</v>
      </c>
      <c r="I30" s="6" t="s">
        <v>65</v>
      </c>
      <c r="J30" s="56"/>
      <c r="T30" s="18" t="s">
        <v>172</v>
      </c>
      <c r="U30" s="64">
        <v>42</v>
      </c>
    </row>
    <row r="31" spans="2:21" ht="12.5" thickBot="1" x14ac:dyDescent="0.4">
      <c r="D31" s="18" t="s">
        <v>12</v>
      </c>
      <c r="E31" s="19" t="s">
        <v>158</v>
      </c>
      <c r="F31" s="20" t="s">
        <v>160</v>
      </c>
      <c r="H31" s="25" t="s">
        <v>178</v>
      </c>
      <c r="I31" s="59" t="s">
        <v>66</v>
      </c>
      <c r="J31" s="60"/>
      <c r="T31" s="18" t="s">
        <v>173</v>
      </c>
      <c r="U31" s="64">
        <v>49</v>
      </c>
    </row>
    <row r="32" spans="2:21" ht="12.5" thickBot="1" x14ac:dyDescent="0.4">
      <c r="D32" s="25" t="s">
        <v>12</v>
      </c>
      <c r="E32" s="28" t="s">
        <v>28</v>
      </c>
      <c r="F32" s="29"/>
      <c r="H32" s="12" t="s">
        <v>50</v>
      </c>
      <c r="I32" s="61" t="s">
        <v>70</v>
      </c>
      <c r="J32" s="55" t="s">
        <v>75</v>
      </c>
      <c r="T32" s="18" t="s">
        <v>174</v>
      </c>
      <c r="U32" s="64">
        <v>56</v>
      </c>
    </row>
    <row r="33" spans="4:21" ht="12.5" thickBot="1" x14ac:dyDescent="0.4">
      <c r="D33" s="40" t="s">
        <v>150</v>
      </c>
      <c r="E33" s="5" t="s">
        <v>41</v>
      </c>
      <c r="F33" s="41" t="s">
        <v>84</v>
      </c>
      <c r="H33" s="37" t="s">
        <v>50</v>
      </c>
      <c r="I33" s="62" t="s">
        <v>71</v>
      </c>
      <c r="J33" s="63"/>
      <c r="T33" s="18" t="s">
        <v>179</v>
      </c>
      <c r="U33" s="64">
        <v>7</v>
      </c>
    </row>
    <row r="34" spans="4:21" x14ac:dyDescent="0.35">
      <c r="D34" s="18" t="s">
        <v>150</v>
      </c>
      <c r="E34" s="19" t="s">
        <v>165</v>
      </c>
      <c r="F34" s="20" t="s">
        <v>85</v>
      </c>
      <c r="H34" s="12" t="s">
        <v>52</v>
      </c>
      <c r="I34" s="61" t="s">
        <v>70</v>
      </c>
      <c r="J34" s="55" t="s">
        <v>75</v>
      </c>
      <c r="T34" s="18" t="s">
        <v>180</v>
      </c>
      <c r="U34" s="64">
        <v>14</v>
      </c>
    </row>
    <row r="35" spans="4:21" ht="12.5" thickBot="1" x14ac:dyDescent="0.4">
      <c r="D35" s="18" t="s">
        <v>150</v>
      </c>
      <c r="E35" s="19" t="s">
        <v>44</v>
      </c>
      <c r="F35" s="20" t="s">
        <v>80</v>
      </c>
      <c r="H35" s="25" t="s">
        <v>52</v>
      </c>
      <c r="I35" s="59" t="s">
        <v>71</v>
      </c>
      <c r="J35" s="60"/>
      <c r="T35" s="18" t="s">
        <v>181</v>
      </c>
      <c r="U35" s="64">
        <v>21</v>
      </c>
    </row>
    <row r="36" spans="4:21" ht="12.5" thickBot="1" x14ac:dyDescent="0.4">
      <c r="D36" s="18" t="s">
        <v>150</v>
      </c>
      <c r="E36" s="19" t="s">
        <v>31</v>
      </c>
      <c r="F36" s="20" t="s">
        <v>149</v>
      </c>
      <c r="H36" s="34" t="s">
        <v>91</v>
      </c>
      <c r="I36" s="35"/>
      <c r="J36" s="36" t="s">
        <v>92</v>
      </c>
      <c r="T36" s="18" t="s">
        <v>182</v>
      </c>
      <c r="U36" s="64">
        <v>28</v>
      </c>
    </row>
    <row r="37" spans="4:21" x14ac:dyDescent="0.35">
      <c r="D37" s="18" t="s">
        <v>150</v>
      </c>
      <c r="E37" s="19" t="s">
        <v>153</v>
      </c>
      <c r="F37" s="20"/>
      <c r="H37" s="12" t="s">
        <v>93</v>
      </c>
      <c r="I37" s="13" t="s">
        <v>98</v>
      </c>
      <c r="J37" s="14" t="s">
        <v>114</v>
      </c>
      <c r="T37" s="18" t="s">
        <v>183</v>
      </c>
      <c r="U37" s="64">
        <v>35</v>
      </c>
    </row>
    <row r="38" spans="4:21" ht="12.5" thickBot="1" x14ac:dyDescent="0.4">
      <c r="D38" s="30" t="s">
        <v>150</v>
      </c>
      <c r="E38" s="28" t="s">
        <v>28</v>
      </c>
      <c r="F38" s="29"/>
      <c r="H38" s="18" t="s">
        <v>93</v>
      </c>
      <c r="I38" s="6" t="s">
        <v>99</v>
      </c>
      <c r="J38" s="56"/>
      <c r="T38" s="18" t="s">
        <v>184</v>
      </c>
      <c r="U38" s="64">
        <v>42</v>
      </c>
    </row>
    <row r="39" spans="4:21" x14ac:dyDescent="0.35">
      <c r="D39" s="12" t="s">
        <v>13</v>
      </c>
      <c r="E39" s="13" t="s">
        <v>41</v>
      </c>
      <c r="F39" s="14" t="s">
        <v>84</v>
      </c>
      <c r="H39" s="18" t="s">
        <v>93</v>
      </c>
      <c r="I39" s="6" t="s">
        <v>100</v>
      </c>
      <c r="J39" s="56"/>
      <c r="T39" s="18" t="s">
        <v>185</v>
      </c>
      <c r="U39" s="64">
        <v>49</v>
      </c>
    </row>
    <row r="40" spans="4:21" x14ac:dyDescent="0.35">
      <c r="D40" s="18" t="s">
        <v>13</v>
      </c>
      <c r="E40" s="19" t="s">
        <v>42</v>
      </c>
      <c r="F40" s="20" t="s">
        <v>85</v>
      </c>
      <c r="H40" s="18" t="s">
        <v>93</v>
      </c>
      <c r="I40" s="6" t="s">
        <v>101</v>
      </c>
      <c r="J40" s="56"/>
      <c r="T40" s="18" t="s">
        <v>186</v>
      </c>
      <c r="U40" s="64">
        <v>56</v>
      </c>
    </row>
    <row r="41" spans="4:21" x14ac:dyDescent="0.35">
      <c r="D41" s="18" t="s">
        <v>13</v>
      </c>
      <c r="E41" s="19" t="s">
        <v>43</v>
      </c>
      <c r="F41" s="20" t="s">
        <v>80</v>
      </c>
      <c r="H41" s="18" t="s">
        <v>93</v>
      </c>
      <c r="I41" s="6" t="s">
        <v>102</v>
      </c>
      <c r="J41" s="56"/>
      <c r="T41" s="18" t="s">
        <v>146</v>
      </c>
      <c r="U41" s="64">
        <v>10</v>
      </c>
    </row>
    <row r="42" spans="4:21" x14ac:dyDescent="0.35">
      <c r="D42" s="18" t="s">
        <v>13</v>
      </c>
      <c r="E42" s="19" t="s">
        <v>31</v>
      </c>
      <c r="F42" s="20" t="s">
        <v>149</v>
      </c>
      <c r="H42" s="18" t="s">
        <v>93</v>
      </c>
      <c r="I42" s="6" t="s">
        <v>103</v>
      </c>
      <c r="J42" s="56"/>
      <c r="U42" s="1"/>
    </row>
    <row r="43" spans="4:21" x14ac:dyDescent="0.35">
      <c r="D43" s="18" t="s">
        <v>13</v>
      </c>
      <c r="E43" s="19" t="s">
        <v>153</v>
      </c>
      <c r="F43" s="20"/>
      <c r="H43" s="18" t="s">
        <v>93</v>
      </c>
      <c r="I43" s="6" t="s">
        <v>104</v>
      </c>
      <c r="J43" s="56"/>
      <c r="U43" s="1"/>
    </row>
    <row r="44" spans="4:21" ht="12.5" thickBot="1" x14ac:dyDescent="0.4">
      <c r="D44" s="45" t="s">
        <v>13</v>
      </c>
      <c r="E44" s="38" t="s">
        <v>28</v>
      </c>
      <c r="F44" s="39"/>
      <c r="H44" s="18" t="s">
        <v>93</v>
      </c>
      <c r="I44" s="6" t="s">
        <v>105</v>
      </c>
      <c r="J44" s="56"/>
      <c r="U44" s="1"/>
    </row>
    <row r="45" spans="4:21" x14ac:dyDescent="0.35">
      <c r="D45" s="12" t="s">
        <v>18</v>
      </c>
      <c r="E45" s="32" t="s">
        <v>93</v>
      </c>
      <c r="F45" s="33" t="s">
        <v>96</v>
      </c>
      <c r="H45" s="18" t="s">
        <v>93</v>
      </c>
      <c r="I45" s="6" t="s">
        <v>106</v>
      </c>
      <c r="J45" s="56"/>
    </row>
    <row r="46" spans="4:21" x14ac:dyDescent="0.35">
      <c r="D46" s="18" t="s">
        <v>18</v>
      </c>
      <c r="E46" s="16" t="s">
        <v>94</v>
      </c>
      <c r="F46" s="17" t="s">
        <v>67</v>
      </c>
      <c r="H46" s="18" t="s">
        <v>93</v>
      </c>
      <c r="I46" s="6" t="s">
        <v>107</v>
      </c>
      <c r="J46" s="56"/>
      <c r="U46" s="1"/>
    </row>
    <row r="47" spans="4:21" ht="12.5" thickBot="1" x14ac:dyDescent="0.4">
      <c r="D47" s="18" t="s">
        <v>18</v>
      </c>
      <c r="E47" s="16" t="s">
        <v>95</v>
      </c>
      <c r="F47" s="17" t="s">
        <v>97</v>
      </c>
      <c r="H47" s="37" t="s">
        <v>93</v>
      </c>
      <c r="I47" s="62" t="s">
        <v>108</v>
      </c>
      <c r="J47" s="63"/>
      <c r="U47" s="1"/>
    </row>
    <row r="48" spans="4:21" ht="12.5" thickBot="1" x14ac:dyDescent="0.4">
      <c r="D48" s="18" t="s">
        <v>18</v>
      </c>
      <c r="E48" s="19" t="s">
        <v>162</v>
      </c>
      <c r="F48" s="20" t="s">
        <v>45</v>
      </c>
      <c r="H48" s="34" t="s">
        <v>115</v>
      </c>
      <c r="I48" s="35"/>
      <c r="J48" s="36" t="s">
        <v>132</v>
      </c>
      <c r="U48" s="1"/>
    </row>
    <row r="49" spans="4:21" ht="12.5" thickBot="1" x14ac:dyDescent="0.4">
      <c r="D49" s="18" t="s">
        <v>18</v>
      </c>
      <c r="E49" s="16" t="s">
        <v>27</v>
      </c>
      <c r="F49" s="17" t="s">
        <v>149</v>
      </c>
      <c r="H49" s="72" t="s">
        <v>116</v>
      </c>
      <c r="I49" s="73"/>
      <c r="J49" s="74" t="s">
        <v>132</v>
      </c>
      <c r="U49" s="1"/>
    </row>
    <row r="50" spans="4:21" x14ac:dyDescent="0.35">
      <c r="D50" s="18" t="s">
        <v>18</v>
      </c>
      <c r="E50" s="16" t="s">
        <v>153</v>
      </c>
      <c r="F50" s="17"/>
      <c r="H50" s="12" t="s">
        <v>153</v>
      </c>
      <c r="I50" s="61" t="s">
        <v>154</v>
      </c>
      <c r="J50" s="55" t="s">
        <v>92</v>
      </c>
      <c r="U50" s="1"/>
    </row>
    <row r="51" spans="4:21" ht="12.5" thickBot="1" x14ac:dyDescent="0.4">
      <c r="D51" s="18" t="s">
        <v>18</v>
      </c>
      <c r="E51" s="19" t="s">
        <v>158</v>
      </c>
      <c r="F51" s="17" t="s">
        <v>160</v>
      </c>
      <c r="H51" s="25" t="s">
        <v>153</v>
      </c>
      <c r="I51" s="59" t="s">
        <v>155</v>
      </c>
      <c r="J51" s="60"/>
      <c r="U51" s="1"/>
    </row>
    <row r="52" spans="4:21" ht="12.5" thickBot="1" x14ac:dyDescent="0.4">
      <c r="D52" s="25" t="s">
        <v>18</v>
      </c>
      <c r="E52" s="28" t="s">
        <v>28</v>
      </c>
      <c r="F52" s="29"/>
      <c r="H52" s="34" t="s">
        <v>20</v>
      </c>
      <c r="I52" s="35"/>
      <c r="J52" s="36" t="s">
        <v>156</v>
      </c>
      <c r="U52" s="1"/>
    </row>
    <row r="53" spans="4:21" ht="12.5" thickBot="1" x14ac:dyDescent="0.4">
      <c r="D53" s="12" t="s">
        <v>14</v>
      </c>
      <c r="E53" s="32" t="s">
        <v>46</v>
      </c>
      <c r="F53" s="33" t="s">
        <v>55</v>
      </c>
      <c r="H53" s="34" t="s">
        <v>21</v>
      </c>
      <c r="I53" s="35"/>
      <c r="J53" s="36" t="s">
        <v>156</v>
      </c>
      <c r="U53" s="1"/>
    </row>
    <row r="54" spans="4:21" ht="12.5" thickBot="1" x14ac:dyDescent="0.4">
      <c r="D54" s="18" t="s">
        <v>14</v>
      </c>
      <c r="E54" s="16" t="s">
        <v>166</v>
      </c>
      <c r="F54" s="17" t="s">
        <v>57</v>
      </c>
      <c r="H54" s="34" t="s">
        <v>22</v>
      </c>
      <c r="I54" s="35"/>
      <c r="J54" s="36" t="s">
        <v>156</v>
      </c>
    </row>
    <row r="55" spans="4:21" ht="12.5" thickBot="1" x14ac:dyDescent="0.4">
      <c r="D55" s="18" t="s">
        <v>14</v>
      </c>
      <c r="E55" s="16" t="s">
        <v>178</v>
      </c>
      <c r="F55" s="17" t="s">
        <v>57</v>
      </c>
      <c r="H55" s="34" t="s">
        <v>23</v>
      </c>
      <c r="I55" s="35"/>
      <c r="J55" s="36" t="s">
        <v>156</v>
      </c>
    </row>
    <row r="56" spans="4:21" ht="12.5" thickBot="1" x14ac:dyDescent="0.4">
      <c r="D56" s="18" t="s">
        <v>14</v>
      </c>
      <c r="E56" s="16" t="s">
        <v>49</v>
      </c>
      <c r="F56" s="17" t="s">
        <v>67</v>
      </c>
      <c r="H56" s="34" t="s">
        <v>161</v>
      </c>
      <c r="I56" s="35"/>
      <c r="J56" s="36" t="s">
        <v>156</v>
      </c>
    </row>
    <row r="57" spans="4:21" ht="12.5" thickBot="1" x14ac:dyDescent="0.4">
      <c r="D57" s="18" t="s">
        <v>14</v>
      </c>
      <c r="E57" s="16" t="s">
        <v>47</v>
      </c>
      <c r="F57" s="17" t="s">
        <v>149</v>
      </c>
      <c r="H57" s="34" t="s">
        <v>158</v>
      </c>
      <c r="I57" s="75"/>
      <c r="J57" s="76" t="s">
        <v>92</v>
      </c>
    </row>
    <row r="58" spans="4:21" ht="12.5" thickBot="1" x14ac:dyDescent="0.4">
      <c r="D58" s="18" t="s">
        <v>14</v>
      </c>
      <c r="E58" s="16" t="s">
        <v>153</v>
      </c>
      <c r="F58" s="17"/>
      <c r="H58" s="34" t="s">
        <v>159</v>
      </c>
      <c r="I58" s="75"/>
      <c r="J58" s="76" t="s">
        <v>92</v>
      </c>
    </row>
    <row r="59" spans="4:21" ht="12.5" thickBot="1" x14ac:dyDescent="0.4">
      <c r="D59" s="25" t="s">
        <v>14</v>
      </c>
      <c r="E59" s="28" t="s">
        <v>28</v>
      </c>
      <c r="F59" s="29"/>
    </row>
    <row r="60" spans="4:21" x14ac:dyDescent="0.35">
      <c r="D60" s="44" t="s">
        <v>17</v>
      </c>
      <c r="E60" s="32" t="s">
        <v>86</v>
      </c>
      <c r="F60" s="33" t="s">
        <v>80</v>
      </c>
    </row>
    <row r="61" spans="4:21" x14ac:dyDescent="0.35">
      <c r="D61" s="15" t="s">
        <v>17</v>
      </c>
      <c r="E61" s="16" t="s">
        <v>87</v>
      </c>
      <c r="F61" s="17" t="s">
        <v>67</v>
      </c>
    </row>
    <row r="62" spans="4:21" x14ac:dyDescent="0.35">
      <c r="D62" s="15" t="s">
        <v>17</v>
      </c>
      <c r="E62" s="16" t="s">
        <v>88</v>
      </c>
      <c r="F62" s="17" t="s">
        <v>84</v>
      </c>
    </row>
    <row r="63" spans="4:21" x14ac:dyDescent="0.35">
      <c r="D63" s="15" t="s">
        <v>17</v>
      </c>
      <c r="E63" s="16" t="s">
        <v>89</v>
      </c>
      <c r="F63" s="17" t="s">
        <v>84</v>
      </c>
    </row>
    <row r="64" spans="4:21" x14ac:dyDescent="0.35">
      <c r="D64" s="15" t="s">
        <v>17</v>
      </c>
      <c r="E64" s="16" t="s">
        <v>90</v>
      </c>
      <c r="F64" s="17" t="s">
        <v>149</v>
      </c>
    </row>
    <row r="65" spans="4:6" x14ac:dyDescent="0.35">
      <c r="D65" s="15" t="s">
        <v>17</v>
      </c>
      <c r="E65" s="16" t="s">
        <v>91</v>
      </c>
      <c r="F65" s="17">
        <f ca="1">TODAY()</f>
        <v>45959</v>
      </c>
    </row>
    <row r="66" spans="4:6" x14ac:dyDescent="0.35">
      <c r="D66" s="15" t="s">
        <v>17</v>
      </c>
      <c r="E66" s="16" t="s">
        <v>153</v>
      </c>
      <c r="F66" s="17"/>
    </row>
    <row r="67" spans="4:6" x14ac:dyDescent="0.35">
      <c r="D67" s="15" t="s">
        <v>17</v>
      </c>
      <c r="E67" s="19" t="s">
        <v>159</v>
      </c>
      <c r="F67" s="17"/>
    </row>
    <row r="68" spans="4:6" ht="12.5" thickBot="1" x14ac:dyDescent="0.4">
      <c r="D68" s="45" t="s">
        <v>17</v>
      </c>
      <c r="E68" s="38" t="s">
        <v>28</v>
      </c>
      <c r="F68" s="39"/>
    </row>
    <row r="69" spans="4:6" x14ac:dyDescent="0.35">
      <c r="D69" s="12" t="s">
        <v>15</v>
      </c>
      <c r="E69" s="32" t="s">
        <v>109</v>
      </c>
      <c r="F69" s="33" t="s">
        <v>84</v>
      </c>
    </row>
    <row r="70" spans="4:6" x14ac:dyDescent="0.35">
      <c r="D70" s="18" t="s">
        <v>15</v>
      </c>
      <c r="E70" s="16" t="s">
        <v>110</v>
      </c>
      <c r="F70" s="17" t="s">
        <v>67</v>
      </c>
    </row>
    <row r="71" spans="4:6" x14ac:dyDescent="0.35">
      <c r="D71" s="18" t="s">
        <v>15</v>
      </c>
      <c r="E71" s="16" t="s">
        <v>111</v>
      </c>
      <c r="F71" s="17" t="s">
        <v>97</v>
      </c>
    </row>
    <row r="72" spans="4:6" x14ac:dyDescent="0.35">
      <c r="D72" s="18" t="s">
        <v>15</v>
      </c>
      <c r="E72" s="16" t="s">
        <v>112</v>
      </c>
      <c r="F72" s="17" t="s">
        <v>113</v>
      </c>
    </row>
    <row r="73" spans="4:6" x14ac:dyDescent="0.35">
      <c r="D73" s="18" t="s">
        <v>15</v>
      </c>
      <c r="E73" s="16" t="s">
        <v>27</v>
      </c>
      <c r="F73" s="17" t="s">
        <v>149</v>
      </c>
    </row>
    <row r="74" spans="4:6" x14ac:dyDescent="0.35">
      <c r="D74" s="18" t="s">
        <v>15</v>
      </c>
      <c r="E74" s="16" t="s">
        <v>153</v>
      </c>
      <c r="F74" s="17"/>
    </row>
    <row r="75" spans="4:6" ht="12.5" thickBot="1" x14ac:dyDescent="0.4">
      <c r="D75" s="37" t="s">
        <v>15</v>
      </c>
      <c r="E75" s="38" t="s">
        <v>28</v>
      </c>
      <c r="F75" s="39"/>
    </row>
    <row r="76" spans="4:6" x14ac:dyDescent="0.35">
      <c r="D76" s="12" t="s">
        <v>19</v>
      </c>
      <c r="E76" s="32" t="s">
        <v>115</v>
      </c>
      <c r="F76" s="33" t="s">
        <v>118</v>
      </c>
    </row>
    <row r="77" spans="4:6" x14ac:dyDescent="0.35">
      <c r="D77" s="18" t="s">
        <v>19</v>
      </c>
      <c r="E77" s="16" t="s">
        <v>116</v>
      </c>
      <c r="F77" s="17" t="s">
        <v>118</v>
      </c>
    </row>
    <row r="78" spans="4:6" x14ac:dyDescent="0.35">
      <c r="D78" s="18" t="s">
        <v>19</v>
      </c>
      <c r="E78" s="16" t="s">
        <v>117</v>
      </c>
      <c r="F78" s="17" t="s">
        <v>149</v>
      </c>
    </row>
    <row r="79" spans="4:6" x14ac:dyDescent="0.35">
      <c r="D79" s="18" t="s">
        <v>19</v>
      </c>
      <c r="E79" s="16" t="s">
        <v>153</v>
      </c>
      <c r="F79" s="17"/>
    </row>
    <row r="80" spans="4:6" ht="12.5" thickBot="1" x14ac:dyDescent="0.4">
      <c r="D80" s="25" t="s">
        <v>19</v>
      </c>
      <c r="E80" s="28" t="s">
        <v>28</v>
      </c>
      <c r="F80" s="29"/>
    </row>
    <row r="81" spans="4:6" x14ac:dyDescent="0.35">
      <c r="D81" s="40" t="s">
        <v>16</v>
      </c>
      <c r="E81" s="49" t="s">
        <v>51</v>
      </c>
      <c r="F81" s="50" t="s">
        <v>68</v>
      </c>
    </row>
    <row r="82" spans="4:6" x14ac:dyDescent="0.35">
      <c r="D82" s="18" t="s">
        <v>16</v>
      </c>
      <c r="E82" s="16" t="s">
        <v>48</v>
      </c>
      <c r="F82" s="17" t="s">
        <v>69</v>
      </c>
    </row>
    <row r="83" spans="4:6" x14ac:dyDescent="0.35">
      <c r="D83" s="18" t="s">
        <v>16</v>
      </c>
      <c r="E83" s="16" t="s">
        <v>49</v>
      </c>
      <c r="F83" s="17" t="s">
        <v>67</v>
      </c>
    </row>
    <row r="84" spans="4:6" x14ac:dyDescent="0.35">
      <c r="D84" s="18" t="s">
        <v>16</v>
      </c>
      <c r="E84" s="16" t="s">
        <v>50</v>
      </c>
      <c r="F84" s="17" t="s">
        <v>77</v>
      </c>
    </row>
    <row r="85" spans="4:6" x14ac:dyDescent="0.35">
      <c r="D85" s="18" t="s">
        <v>16</v>
      </c>
      <c r="E85" s="16" t="s">
        <v>52</v>
      </c>
      <c r="F85" s="17" t="s">
        <v>72</v>
      </c>
    </row>
    <row r="86" spans="4:6" x14ac:dyDescent="0.35">
      <c r="D86" s="18" t="s">
        <v>16</v>
      </c>
      <c r="E86" s="16" t="s">
        <v>153</v>
      </c>
      <c r="F86" s="17"/>
    </row>
    <row r="87" spans="4:6" ht="12.5" thickBot="1" x14ac:dyDescent="0.4">
      <c r="D87" s="25" t="s">
        <v>16</v>
      </c>
      <c r="E87" s="28" t="s">
        <v>28</v>
      </c>
      <c r="F87" s="29"/>
    </row>
    <row r="88" spans="4:6" x14ac:dyDescent="0.35">
      <c r="D88" s="40" t="s">
        <v>145</v>
      </c>
      <c r="E88" s="49" t="s">
        <v>146</v>
      </c>
      <c r="F88" s="50" t="s">
        <v>84</v>
      </c>
    </row>
    <row r="89" spans="4:6" x14ac:dyDescent="0.35">
      <c r="D89" s="18" t="s">
        <v>145</v>
      </c>
      <c r="E89" s="16" t="s">
        <v>165</v>
      </c>
      <c r="F89" s="17" t="s">
        <v>85</v>
      </c>
    </row>
    <row r="90" spans="4:6" x14ac:dyDescent="0.35">
      <c r="D90" s="18" t="s">
        <v>145</v>
      </c>
      <c r="E90" s="16" t="s">
        <v>147</v>
      </c>
      <c r="F90" s="17" t="s">
        <v>80</v>
      </c>
    </row>
    <row r="91" spans="4:6" x14ac:dyDescent="0.35">
      <c r="D91" s="18" t="s">
        <v>145</v>
      </c>
      <c r="E91" s="16" t="s">
        <v>148</v>
      </c>
      <c r="F91" s="17" t="s">
        <v>149</v>
      </c>
    </row>
    <row r="92" spans="4:6" x14ac:dyDescent="0.35">
      <c r="D92" s="18" t="s">
        <v>145</v>
      </c>
      <c r="E92" s="16" t="s">
        <v>153</v>
      </c>
      <c r="F92" s="17"/>
    </row>
    <row r="93" spans="4:6" ht="12.5" thickBot="1" x14ac:dyDescent="0.4">
      <c r="D93" s="25" t="s">
        <v>145</v>
      </c>
      <c r="E93" s="28" t="s">
        <v>28</v>
      </c>
      <c r="F93" s="29"/>
    </row>
  </sheetData>
  <autoFilter ref="D1:F77" xr:uid="{00000000-0009-0000-0000-000001000000}"/>
  <sortState xmlns:xlrd2="http://schemas.microsoft.com/office/spreadsheetml/2017/richdata2" ref="A2:B21">
    <sortCondition ref="A2:A21"/>
    <sortCondition ref="B2:B2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Patient Tracking</vt:lpstr>
      <vt:lpstr>HCC Code List</vt:lpstr>
      <vt:lpstr>P4P SUMMARY GUIDELINES</vt:lpstr>
      <vt:lpstr>P4P SUMMARY Codes</vt:lpstr>
      <vt:lpstr>SetUp</vt:lpstr>
      <vt:lpstr>'P4P SUMMARY Codes'!Print_Titles</vt:lpstr>
      <vt:lpstr>'P4P SUMMARY GUIDELINES'!Print_Titles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Kuo Ooi</dc:creator>
  <cp:lastModifiedBy>Kuo Ooi</cp:lastModifiedBy>
  <dcterms:created xsi:type="dcterms:W3CDTF">2017-11-06T07:23:54Z</dcterms:created>
  <dcterms:modified xsi:type="dcterms:W3CDTF">2025-10-30T05:17:55Z</dcterms:modified>
</cp:coreProperties>
</file>